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uyiselox\Documents\Self learning\Projects\Air Traffic Forecast\"/>
    </mc:Choice>
  </mc:AlternateContent>
  <xr:revisionPtr revIDLastSave="0" documentId="13_ncr:1_{2AA32779-7D1D-4D4C-AED6-33D97958EC4B}" xr6:coauthVersionLast="47" xr6:coauthVersionMax="47" xr10:uidLastSave="{00000000-0000-0000-0000-000000000000}"/>
  <bookViews>
    <workbookView xWindow="57480" yWindow="-120" windowWidth="29040" windowHeight="16440" xr2:uid="{35185420-71A2-45AE-AEAD-D7F9CAD2B7C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F2" i="2" l="1"/>
  <c r="G2" i="2" s="1"/>
  <c r="F3" i="2"/>
  <c r="G3" i="2" s="1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G46" i="2" s="1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62" i="2"/>
  <c r="G62" i="2" s="1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G78" i="2" s="1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G94" i="2" s="1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 s="1"/>
  <c r="F105" i="2"/>
  <c r="G105" i="2" s="1"/>
  <c r="F106" i="2"/>
  <c r="G106" i="2" s="1"/>
  <c r="F107" i="2"/>
  <c r="G107" i="2" s="1"/>
  <c r="F108" i="2"/>
  <c r="G108" i="2" s="1"/>
  <c r="F109" i="2"/>
  <c r="G109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22" i="2"/>
  <c r="G122" i="2" s="1"/>
  <c r="F123" i="2"/>
  <c r="G123" i="2" s="1"/>
  <c r="F124" i="2"/>
  <c r="G124" i="2" s="1"/>
  <c r="F125" i="2"/>
  <c r="G125" i="2" s="1"/>
  <c r="F126" i="2"/>
  <c r="G126" i="2" s="1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G133" i="2" s="1"/>
  <c r="F134" i="2"/>
  <c r="G134" i="2" s="1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G140" i="2" s="1"/>
  <c r="F141" i="2"/>
  <c r="G141" i="2" s="1"/>
  <c r="F142" i="2"/>
  <c r="G142" i="2" s="1"/>
  <c r="F143" i="2"/>
  <c r="G143" i="2" s="1"/>
  <c r="F144" i="2"/>
  <c r="G144" i="2" s="1"/>
  <c r="F145" i="2"/>
  <c r="G145" i="2" s="1"/>
  <c r="F146" i="2"/>
  <c r="G146" i="2" s="1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G152" i="2" s="1"/>
  <c r="F153" i="2"/>
  <c r="G153" i="2" s="1"/>
  <c r="F154" i="2"/>
  <c r="G154" i="2" s="1"/>
  <c r="F155" i="2"/>
  <c r="G155" i="2" s="1"/>
  <c r="F156" i="2"/>
  <c r="G156" i="2" s="1"/>
  <c r="F157" i="2"/>
  <c r="G157" i="2" s="1"/>
  <c r="F158" i="2"/>
  <c r="G158" i="2" s="1"/>
  <c r="F159" i="2"/>
  <c r="G159" i="2" s="1"/>
  <c r="F160" i="2"/>
  <c r="G160" i="2" s="1"/>
  <c r="F161" i="2"/>
  <c r="G161" i="2" s="1"/>
  <c r="F162" i="2"/>
  <c r="G162" i="2" s="1"/>
  <c r="F163" i="2"/>
  <c r="G163" i="2" s="1"/>
  <c r="F164" i="2"/>
  <c r="G164" i="2" s="1"/>
  <c r="F165" i="2"/>
  <c r="G165" i="2" s="1"/>
  <c r="F166" i="2"/>
  <c r="G166" i="2" s="1"/>
  <c r="F167" i="2"/>
  <c r="G167" i="2" s="1"/>
  <c r="F168" i="2"/>
  <c r="G168" i="2" s="1"/>
  <c r="F169" i="2"/>
  <c r="G169" i="2" s="1"/>
  <c r="F170" i="2"/>
  <c r="G170" i="2" s="1"/>
  <c r="F171" i="2"/>
  <c r="G171" i="2" s="1"/>
  <c r="F172" i="2"/>
  <c r="G172" i="2" s="1"/>
  <c r="F173" i="2"/>
  <c r="G173" i="2" s="1"/>
  <c r="F174" i="2"/>
  <c r="G174" i="2" s="1"/>
  <c r="F175" i="2"/>
  <c r="G175" i="2" s="1"/>
  <c r="F176" i="2"/>
  <c r="G176" i="2" s="1"/>
  <c r="F177" i="2"/>
  <c r="G177" i="2" s="1"/>
  <c r="F178" i="2"/>
  <c r="G178" i="2" s="1"/>
  <c r="F179" i="2"/>
  <c r="G179" i="2" s="1"/>
  <c r="F180" i="2"/>
  <c r="G180" i="2" s="1"/>
  <c r="F181" i="2"/>
  <c r="G181" i="2" s="1"/>
  <c r="F182" i="2"/>
  <c r="G182" i="2" s="1"/>
  <c r="F183" i="2"/>
  <c r="G183" i="2" s="1"/>
  <c r="F184" i="2"/>
  <c r="G184" i="2" s="1"/>
  <c r="F185" i="2"/>
  <c r="G185" i="2" s="1"/>
  <c r="F186" i="2"/>
  <c r="G186" i="2" s="1"/>
  <c r="F187" i="2"/>
  <c r="G187" i="2" s="1"/>
  <c r="F188" i="2"/>
  <c r="G188" i="2" s="1"/>
  <c r="F189" i="2"/>
  <c r="G189" i="2" s="1"/>
  <c r="F190" i="2"/>
  <c r="G190" i="2" s="1"/>
  <c r="F191" i="2"/>
  <c r="G191" i="2" s="1"/>
  <c r="F192" i="2"/>
  <c r="G192" i="2" s="1"/>
  <c r="F193" i="2"/>
  <c r="G193" i="2" s="1"/>
</calcChain>
</file>

<file path=xl/sharedStrings.xml><?xml version="1.0" encoding="utf-8"?>
<sst xmlns="http://schemas.openxmlformats.org/spreadsheetml/2006/main" count="581" uniqueCount="497">
  <si>
    <t>elease Date</t>
  </si>
  <si>
    <t>Actual</t>
  </si>
  <si>
    <t>Nov 28, 2025 (Oct)</t>
  </si>
  <si>
    <t>21.76B</t>
  </si>
  <si>
    <t>Oct 31, 2025 (Sep)</t>
  </si>
  <si>
    <t>2.37B</t>
  </si>
  <si>
    <t>Sep 30, 2025 (Aug)</t>
  </si>
  <si>
    <t>3.97B</t>
  </si>
  <si>
    <t>19.56B</t>
  </si>
  <si>
    <t>Aug 29, 2025 (Jul)</t>
  </si>
  <si>
    <t>20.29B</t>
  </si>
  <si>
    <t>20.96B</t>
  </si>
  <si>
    <t>Jul 31, 2025 (Jun)</t>
  </si>
  <si>
    <t>22.04B</t>
  </si>
  <si>
    <t>20.03B</t>
  </si>
  <si>
    <t>Jun 30, 2025 (May)</t>
  </si>
  <si>
    <t>21.67B</t>
  </si>
  <si>
    <t>13.00B</t>
  </si>
  <si>
    <t>May 30, 2025 (Apr)</t>
  </si>
  <si>
    <t>14.08B</t>
  </si>
  <si>
    <t>22.65B</t>
  </si>
  <si>
    <t>Apr 30, 2025 (Mar)</t>
  </si>
  <si>
    <t>24.77B</t>
  </si>
  <si>
    <t>19.95B</t>
  </si>
  <si>
    <t>Mar 31, 2025 (Feb)</t>
  </si>
  <si>
    <t>20.90B</t>
  </si>
  <si>
    <t>-16.81B</t>
  </si>
  <si>
    <t>Feb 28, 2025 (Jan)</t>
  </si>
  <si>
    <t>-16.42B</t>
  </si>
  <si>
    <t>14.69B</t>
  </si>
  <si>
    <t>Jan 31, 2025 (Dec)</t>
  </si>
  <si>
    <t>15.46B</t>
  </si>
  <si>
    <t>34.03B</t>
  </si>
  <si>
    <t>Dec 31, 2024 (Nov)</t>
  </si>
  <si>
    <t>34.70B</t>
  </si>
  <si>
    <t>14.13B</t>
  </si>
  <si>
    <t>Nov 29, 2024 (Oct)</t>
  </si>
  <si>
    <t>14.63B</t>
  </si>
  <si>
    <t>12.61B</t>
  </si>
  <si>
    <t>Oct 31, 2024 (Sep)</t>
  </si>
  <si>
    <t>12.84B</t>
  </si>
  <si>
    <t>5.11B</t>
  </si>
  <si>
    <t>Sep 30, 2024 (Aug)</t>
  </si>
  <si>
    <t>5.63B</t>
  </si>
  <si>
    <t>17.07B</t>
  </si>
  <si>
    <t>Aug 30, 2024 (Jul)</t>
  </si>
  <si>
    <t>17.61B</t>
  </si>
  <si>
    <t>24.19B</t>
  </si>
  <si>
    <t>Jul 31, 2024 (Jun)</t>
  </si>
  <si>
    <t>24.23B</t>
  </si>
  <si>
    <t>19.96B</t>
  </si>
  <si>
    <t>Jun 28, 2024 (May)</t>
  </si>
  <si>
    <t>20.09B</t>
  </si>
  <si>
    <t>9.68B</t>
  </si>
  <si>
    <t>May 31, 2024 (Apr)</t>
  </si>
  <si>
    <t>10.47B</t>
  </si>
  <si>
    <t>7.27B</t>
  </si>
  <si>
    <t>Apr 30, 2024 (Mar)</t>
  </si>
  <si>
    <t>14.04B</t>
  </si>
  <si>
    <t>Mar 28, 2024 (Feb)</t>
  </si>
  <si>
    <t>-9.44B</t>
  </si>
  <si>
    <t>Feb 29, 2024 (Jan)</t>
  </si>
  <si>
    <t>14.06B</t>
  </si>
  <si>
    <t>Jan 31, 2024 (Dec)</t>
  </si>
  <si>
    <t>20.56B</t>
  </si>
  <si>
    <t>Dec 29, 2023 (Nov)</t>
  </si>
  <si>
    <t>21.02B</t>
  </si>
  <si>
    <t>5.80B</t>
  </si>
  <si>
    <t>-12.88B</t>
  </si>
  <si>
    <t>Nov 30, 2023 (Oct)</t>
  </si>
  <si>
    <t>-12.66B</t>
  </si>
  <si>
    <t>13.14B</t>
  </si>
  <si>
    <t>Oct 31, 2023 (Sep)</t>
  </si>
  <si>
    <t>12.00B</t>
  </si>
  <si>
    <t>12.58B</t>
  </si>
  <si>
    <t>Sep 29, 2023 (Aug)</t>
  </si>
  <si>
    <t>13.28B</t>
  </si>
  <si>
    <t>15.96B</t>
  </si>
  <si>
    <t>Aug 31, 2023 (Jul)</t>
  </si>
  <si>
    <t>-3.54B</t>
  </si>
  <si>
    <t>Jul 31, 2023</t>
  </si>
  <si>
    <t>10.20B</t>
  </si>
  <si>
    <t>Jun 30, 2023</t>
  </si>
  <si>
    <t>May 31, 2023</t>
  </si>
  <si>
    <t>3.54B</t>
  </si>
  <si>
    <t>6.30B</t>
  </si>
  <si>
    <t>Apr 28, 2023</t>
  </si>
  <si>
    <t>6.89B</t>
  </si>
  <si>
    <t>10.71B</t>
  </si>
  <si>
    <t>Mar 31, 2023</t>
  </si>
  <si>
    <t>16.13B</t>
  </si>
  <si>
    <t>-22.71B</t>
  </si>
  <si>
    <t>Feb 28, 2023</t>
  </si>
  <si>
    <t>-23.05B</t>
  </si>
  <si>
    <t>4.99B</t>
  </si>
  <si>
    <t>Jan 31, 2023 (Dec)</t>
  </si>
  <si>
    <t>5.43B</t>
  </si>
  <si>
    <t>5.50B</t>
  </si>
  <si>
    <t>7.30B</t>
  </si>
  <si>
    <t>Dec 30, 2022 (Nov)</t>
  </si>
  <si>
    <t>7.98B</t>
  </si>
  <si>
    <t>-5.31B</t>
  </si>
  <si>
    <t>Nov 30, 2022 (Oct)</t>
  </si>
  <si>
    <t>-4.31B</t>
  </si>
  <si>
    <t>19.70B</t>
  </si>
  <si>
    <t>Oct 31, 2022 (Sep)</t>
  </si>
  <si>
    <t>7.18B</t>
  </si>
  <si>
    <t>Sep 30, 2022 (Aug)</t>
  </si>
  <si>
    <t>24.81B</t>
  </si>
  <si>
    <t>Aug 31, 2022 (Jul)</t>
  </si>
  <si>
    <t>24.76B</t>
  </si>
  <si>
    <t>Jul 29, 2022 (Jun)</t>
  </si>
  <si>
    <t>30.85B</t>
  </si>
  <si>
    <t>Jun 30, 2022 (May)</t>
  </si>
  <si>
    <t>28.35B</t>
  </si>
  <si>
    <t>16.01B</t>
  </si>
  <si>
    <t>May 31, 2022 (Apr)</t>
  </si>
  <si>
    <t>15.49B</t>
  </si>
  <si>
    <t>47.20B</t>
  </si>
  <si>
    <t>Apr 29, 2022 (Mar)</t>
  </si>
  <si>
    <t>45.86B</t>
  </si>
  <si>
    <t>11.50B</t>
  </si>
  <si>
    <t>Mar 31, 2022 (Feb)</t>
  </si>
  <si>
    <t>10.60B</t>
  </si>
  <si>
    <t>4.07B</t>
  </si>
  <si>
    <t>Feb 28, 2022 (Jan)</t>
  </si>
  <si>
    <t>3.55B</t>
  </si>
  <si>
    <t>30.14B</t>
  </si>
  <si>
    <t>Jan 31, 2022 (Dec)</t>
  </si>
  <si>
    <t>35.83B</t>
  </si>
  <si>
    <t>Dec 28, 2021 (Nov)</t>
  </si>
  <si>
    <t>27.68B</t>
  </si>
  <si>
    <t>Nov 30, 2021 (Oct)</t>
  </si>
  <si>
    <t>19.78B</t>
  </si>
  <si>
    <t>22.15B</t>
  </si>
  <si>
    <t>Oct 29, 2021 (Sep)</t>
  </si>
  <si>
    <t>22.24B</t>
  </si>
  <si>
    <t>42.40B</t>
  </si>
  <si>
    <t>Sep 30, 2021 (Aug)</t>
  </si>
  <si>
    <t>36.96B</t>
  </si>
  <si>
    <t>Aug 31, 2021 (Jul)</t>
  </si>
  <si>
    <t>54.48B</t>
  </si>
  <si>
    <t>Jul 30, 2021 (Jun)</t>
  </si>
  <si>
    <t>57.68B</t>
  </si>
  <si>
    <t>54.37B</t>
  </si>
  <si>
    <t>Jun 30, 2021 (May)</t>
  </si>
  <si>
    <t>54.60B</t>
  </si>
  <si>
    <t>51.25B</t>
  </si>
  <si>
    <t>May 31, 2021 (Apr)</t>
  </si>
  <si>
    <t>51.24B</t>
  </si>
  <si>
    <t>52.57B</t>
  </si>
  <si>
    <t>Apr 30, 2021 (Mar)</t>
  </si>
  <si>
    <t>52.77B</t>
  </si>
  <si>
    <t>31.22B</t>
  </si>
  <si>
    <t>Mar 31, 2021 (Feb)</t>
  </si>
  <si>
    <t>28.96B</t>
  </si>
  <si>
    <t>12.42B</t>
  </si>
  <si>
    <t>Feb 26, 2021 (Jan)</t>
  </si>
  <si>
    <t>11.83B</t>
  </si>
  <si>
    <t>33.06B</t>
  </si>
  <si>
    <t>Jan 29, 2021 (Dec)</t>
  </si>
  <si>
    <t>32.00B</t>
  </si>
  <si>
    <t>35.26B</t>
  </si>
  <si>
    <t>Dec 28, 2020 (Nov)</t>
  </si>
  <si>
    <t>36.72B</t>
  </si>
  <si>
    <t>34.94B</t>
  </si>
  <si>
    <t>Nov 30, 2020 (Oct)</t>
  </si>
  <si>
    <t>36.13B</t>
  </si>
  <si>
    <t>33.36B</t>
  </si>
  <si>
    <t>Oct 30, 2020 (Sep)</t>
  </si>
  <si>
    <t>33.51B</t>
  </si>
  <si>
    <t>38.70B</t>
  </si>
  <si>
    <t>Sep 30, 2020 (Aug)</t>
  </si>
  <si>
    <t>38.87B</t>
  </si>
  <si>
    <t>37.18B</t>
  </si>
  <si>
    <t>Aug 31, 2020 (Jul)</t>
  </si>
  <si>
    <t>37.42B</t>
  </si>
  <si>
    <t>45.73B</t>
  </si>
  <si>
    <t>Jul 31, 2020 (Jun)</t>
  </si>
  <si>
    <t>46.63B</t>
  </si>
  <si>
    <t>19.69B</t>
  </si>
  <si>
    <t>Jun 30, 2020 (May)</t>
  </si>
  <si>
    <t>15.94B</t>
  </si>
  <si>
    <t>-35.95B</t>
  </si>
  <si>
    <t>May 29, 2020 (Apr)</t>
  </si>
  <si>
    <t>-35.02B</t>
  </si>
  <si>
    <t>23.94B</t>
  </si>
  <si>
    <t>Apr 30, 2020 (Mar)</t>
  </si>
  <si>
    <t>24.25B</t>
  </si>
  <si>
    <t>13.71B</t>
  </si>
  <si>
    <t>Mar 31, 2020 (Feb)</t>
  </si>
  <si>
    <t>14.15B</t>
  </si>
  <si>
    <t>-2.72B</t>
  </si>
  <si>
    <t>Feb 28, 2020 (Jan)</t>
  </si>
  <si>
    <t>-1.87B</t>
  </si>
  <si>
    <t>-13.80B</t>
  </si>
  <si>
    <t>13.89B</t>
  </si>
  <si>
    <t>Jan 31, 2020 (Dec)</t>
  </si>
  <si>
    <t>14.85B</t>
  </si>
  <si>
    <t>6.10B</t>
  </si>
  <si>
    <t>Dec 27, 2019 (Nov)</t>
  </si>
  <si>
    <t>5.00B</t>
  </si>
  <si>
    <t>3.09B</t>
  </si>
  <si>
    <t>Nov 29, 2019 (Oct)</t>
  </si>
  <si>
    <t>5.16B</t>
  </si>
  <si>
    <t>Oct 31, 2019 (Sep)</t>
  </si>
  <si>
    <t>4.54B</t>
  </si>
  <si>
    <t>Sep 30, 2019 (Aug)</t>
  </si>
  <si>
    <t>6.84B</t>
  </si>
  <si>
    <t>-3.72B</t>
  </si>
  <si>
    <t>Aug 30, 2019 (Jul)</t>
  </si>
  <si>
    <t>-2.88B</t>
  </si>
  <si>
    <t>5.54B</t>
  </si>
  <si>
    <t>Jul 31, 2019 (Jun)</t>
  </si>
  <si>
    <t>4.42B</t>
  </si>
  <si>
    <t>1.70B</t>
  </si>
  <si>
    <t>Jun 28, 2019 (May)</t>
  </si>
  <si>
    <t>1.74B</t>
  </si>
  <si>
    <t>-3.53B</t>
  </si>
  <si>
    <t>May 31, 2019 (Apr)</t>
  </si>
  <si>
    <t>-3.43B</t>
  </si>
  <si>
    <t>4.71B</t>
  </si>
  <si>
    <t>Apr 30, 2019 (Mar)</t>
  </si>
  <si>
    <t>3.87B</t>
  </si>
  <si>
    <t>Mar 29, 2019 (Feb)</t>
  </si>
  <si>
    <t>3.99B</t>
  </si>
  <si>
    <t>-13.07B</t>
  </si>
  <si>
    <t>Feb 28, 2019 (Jan)</t>
  </si>
  <si>
    <t>-13.08B</t>
  </si>
  <si>
    <t>16.70B</t>
  </si>
  <si>
    <t>Jan 31, 2019 (Dec)</t>
  </si>
  <si>
    <t>17.17B</t>
  </si>
  <si>
    <t>3.29B</t>
  </si>
  <si>
    <t>Dec 28, 2018 (Nov)</t>
  </si>
  <si>
    <t>3.49B</t>
  </si>
  <si>
    <t>-4.29B</t>
  </si>
  <si>
    <t>Nov 30, 2018 (Oct)</t>
  </si>
  <si>
    <t>-5.55B</t>
  </si>
  <si>
    <t>-3.83B</t>
  </si>
  <si>
    <t>Oct 31, 2018 (Sep)</t>
  </si>
  <si>
    <t>-2.95B</t>
  </si>
  <si>
    <t>4.00B</t>
  </si>
  <si>
    <t>8.77B</t>
  </si>
  <si>
    <t>Sep 28, 2018 (Aug)</t>
  </si>
  <si>
    <t>8.79B</t>
  </si>
  <si>
    <t>-5.29B</t>
  </si>
  <si>
    <t>Aug 31, 2018 (Jul)</t>
  </si>
  <si>
    <t>-4.66B</t>
  </si>
  <si>
    <t>11.89B</t>
  </si>
  <si>
    <t>Jul 31, 2018 (Jun)</t>
  </si>
  <si>
    <t>3.84B</t>
  </si>
  <si>
    <t>Jun 29, 2018 (May)</t>
  </si>
  <si>
    <t>3.52B</t>
  </si>
  <si>
    <t>1.17B</t>
  </si>
  <si>
    <t>May 31, 2018 (Apr)</t>
  </si>
  <si>
    <t>1.14B</t>
  </si>
  <si>
    <t>9.30B</t>
  </si>
  <si>
    <t>Apr 30, 2018 (Mar)</t>
  </si>
  <si>
    <t>9.47B</t>
  </si>
  <si>
    <t>-0.60B</t>
  </si>
  <si>
    <t>Mar 29, 2018 (Feb)</t>
  </si>
  <si>
    <t>0.43B</t>
  </si>
  <si>
    <t>-27.10B</t>
  </si>
  <si>
    <t>Feb 28, 2018 (Jan)</t>
  </si>
  <si>
    <t>-27.70B</t>
  </si>
  <si>
    <t>15.30B</t>
  </si>
  <si>
    <t>Jan 31, 2018 (Dec)</t>
  </si>
  <si>
    <t>15.72B</t>
  </si>
  <si>
    <t>13.05B</t>
  </si>
  <si>
    <t>Dec 28, 2017 (Nov)</t>
  </si>
  <si>
    <t>13.02B</t>
  </si>
  <si>
    <t>4.34B</t>
  </si>
  <si>
    <t>Nov 30, 2017 (Oct)</t>
  </si>
  <si>
    <t>4.56B</t>
  </si>
  <si>
    <t>4.48B</t>
  </si>
  <si>
    <t>Oct 31, 2017 (Sep)</t>
  </si>
  <si>
    <t>5.98B</t>
  </si>
  <si>
    <t>Sep 29, 2017 (Aug)</t>
  </si>
  <si>
    <t>5.94B</t>
  </si>
  <si>
    <t>9.33B</t>
  </si>
  <si>
    <t>Aug 31, 2017 (Jul)</t>
  </si>
  <si>
    <t>8.99B</t>
  </si>
  <si>
    <t>10.56B</t>
  </si>
  <si>
    <t>Jul 31, 2017 (Jun)</t>
  </si>
  <si>
    <t>10.67B</t>
  </si>
  <si>
    <t>7.22B</t>
  </si>
  <si>
    <t>Jun 30, 2017 (May)</t>
  </si>
  <si>
    <t>9.49B</t>
  </si>
  <si>
    <t>4.97B</t>
  </si>
  <si>
    <t>May 31, 2017 (Apr)</t>
  </si>
  <si>
    <t>5.10B</t>
  </si>
  <si>
    <t>11.30B</t>
  </si>
  <si>
    <t>Apr 28, 2017 (Mar)</t>
  </si>
  <si>
    <t>11.40B</t>
  </si>
  <si>
    <t>4.78B</t>
  </si>
  <si>
    <t>Mar 31, 2017 (Feb)</t>
  </si>
  <si>
    <t>5.22B</t>
  </si>
  <si>
    <t>-11.22B</t>
  </si>
  <si>
    <t>Feb 28, 2017</t>
  </si>
  <si>
    <t>-10.81B</t>
  </si>
  <si>
    <t>12.04B</t>
  </si>
  <si>
    <t>Jan 31, 2017 (Dec)</t>
  </si>
  <si>
    <t>-1.68B</t>
  </si>
  <si>
    <t>Dec 29, 2016 (Nov)</t>
  </si>
  <si>
    <t>-1.09B</t>
  </si>
  <si>
    <t>-3.91B</t>
  </si>
  <si>
    <t>Nov 30, 2016 (Oct)</t>
  </si>
  <si>
    <t>-4.41B</t>
  </si>
  <si>
    <t>6.90B</t>
  </si>
  <si>
    <t>Oct 31, 2016 (Sep)</t>
  </si>
  <si>
    <t>6.70B</t>
  </si>
  <si>
    <t>-8.90B</t>
  </si>
  <si>
    <t>Sep 30, 2016 (Aug)</t>
  </si>
  <si>
    <t>-8.56B</t>
  </si>
  <si>
    <t>5.04B</t>
  </si>
  <si>
    <t>Aug 31, 2016 (Jul)</t>
  </si>
  <si>
    <t>12.47B</t>
  </si>
  <si>
    <t>Jul 29, 2016 (Jun)</t>
  </si>
  <si>
    <t>12.53B</t>
  </si>
  <si>
    <t>18.36B</t>
  </si>
  <si>
    <t>Jun 30, 2016 (May)</t>
  </si>
  <si>
    <t>18.73B</t>
  </si>
  <si>
    <t>-0.13B</t>
  </si>
  <si>
    <t>May 31, 2016 (Apr)</t>
  </si>
  <si>
    <t>2.03B</t>
  </si>
  <si>
    <t>Apr 29, 2016 (Mar)</t>
  </si>
  <si>
    <t>2.92B</t>
  </si>
  <si>
    <t>-1.27B</t>
  </si>
  <si>
    <t>Mar 31, 2016 (Feb)</t>
  </si>
  <si>
    <t>-1.07B</t>
  </si>
  <si>
    <t>-17.96B</t>
  </si>
  <si>
    <t>Feb 29, 2016 (Jan)</t>
  </si>
  <si>
    <t>-17.87B</t>
  </si>
  <si>
    <t>7.56B</t>
  </si>
  <si>
    <t>Jan 29, 2016 (Dec)</t>
  </si>
  <si>
    <t>8.22B</t>
  </si>
  <si>
    <t>0.68B</t>
  </si>
  <si>
    <t>Dec 30, 2015 (Nov)</t>
  </si>
  <si>
    <t>1.77B</t>
  </si>
  <si>
    <t>-21.60B</t>
  </si>
  <si>
    <t>Nov 30, 2015 (Oct)</t>
  </si>
  <si>
    <t>-21.39B</t>
  </si>
  <si>
    <t>-1.26B</t>
  </si>
  <si>
    <t>Oct 30, 2015 (Sep)</t>
  </si>
  <si>
    <t>-0.89B</t>
  </si>
  <si>
    <t>10.14B</t>
  </si>
  <si>
    <t>Sep 30, 2015 (Aug)</t>
  </si>
  <si>
    <t>-9.95B</t>
  </si>
  <si>
    <t>-1.11B</t>
  </si>
  <si>
    <t>Aug 31, 2015 (Jul)</t>
  </si>
  <si>
    <t>-0.40B</t>
  </si>
  <si>
    <t>Jul 31, 2015 (Jun)</t>
  </si>
  <si>
    <t>4.94B</t>
  </si>
  <si>
    <t>Jun 30, 2015 (May)</t>
  </si>
  <si>
    <t>-1.44B</t>
  </si>
  <si>
    <t>May 29, 2015 (Apr)</t>
  </si>
  <si>
    <t>-2.51B</t>
  </si>
  <si>
    <t>-5.50B</t>
  </si>
  <si>
    <t>-0.01B</t>
  </si>
  <si>
    <t>Apr 30, 2015 (Mar)</t>
  </si>
  <si>
    <t>0.48B</t>
  </si>
  <si>
    <t>-8.70B</t>
  </si>
  <si>
    <t>Mar 31, 2015 (Feb)</t>
  </si>
  <si>
    <t>-8.48B</t>
  </si>
  <si>
    <t>-5.70B</t>
  </si>
  <si>
    <t>-24.22B</t>
  </si>
  <si>
    <t>Feb 27, 2015 (Jan)</t>
  </si>
  <si>
    <t>6.67B</t>
  </si>
  <si>
    <t>Jan 30, 2015 (Dec)</t>
  </si>
  <si>
    <t>6.85B</t>
  </si>
  <si>
    <t>-5.27B</t>
  </si>
  <si>
    <t>Dec 30, 2014 (Nov)</t>
  </si>
  <si>
    <t>21.63B</t>
  </si>
  <si>
    <t>Nov 28, 2014 (Oct)</t>
  </si>
  <si>
    <t>-21.33B</t>
  </si>
  <si>
    <t>-3.04B</t>
  </si>
  <si>
    <t>Oct 31, 2014 (Sep)</t>
  </si>
  <si>
    <t>-2.91B</t>
  </si>
  <si>
    <t>-16.75B</t>
  </si>
  <si>
    <t>Sep 30, 2014 (Aug)</t>
  </si>
  <si>
    <t>-16.30B</t>
  </si>
  <si>
    <t>-6.82B</t>
  </si>
  <si>
    <t>Aug 29, 2014</t>
  </si>
  <si>
    <t>-6.88B</t>
  </si>
  <si>
    <t>-0.19B</t>
  </si>
  <si>
    <t>Jul 31, 2014</t>
  </si>
  <si>
    <t>-7.44B</t>
  </si>
  <si>
    <t>Jun 30, 2014</t>
  </si>
  <si>
    <t>-6.57B</t>
  </si>
  <si>
    <t>-13.03B</t>
  </si>
  <si>
    <t>May 30, 2014</t>
  </si>
  <si>
    <t>-11.39B</t>
  </si>
  <si>
    <t>Apr 30, 2014</t>
  </si>
  <si>
    <t>1.72B</t>
  </si>
  <si>
    <t>Mar 31, 2014</t>
  </si>
  <si>
    <t>-17.10B</t>
  </si>
  <si>
    <t>Feb 28, 2014</t>
  </si>
  <si>
    <t>-12.20B</t>
  </si>
  <si>
    <t>Jan 31, 2014</t>
  </si>
  <si>
    <t>-9.24B</t>
  </si>
  <si>
    <t>Dec 30, 2013</t>
  </si>
  <si>
    <t>-20.97B</t>
  </si>
  <si>
    <t>Nov 29, 2013</t>
  </si>
  <si>
    <t>-18.94B</t>
  </si>
  <si>
    <t>Oct 31, 2013</t>
  </si>
  <si>
    <t>-19.05B</t>
  </si>
  <si>
    <t>Sep 30, 2013</t>
  </si>
  <si>
    <t>-14.21B</t>
  </si>
  <si>
    <t>Aug 30, 2013</t>
  </si>
  <si>
    <t>-7.71B</t>
  </si>
  <si>
    <t>Jul 31, 2013</t>
  </si>
  <si>
    <t>-11.03B</t>
  </si>
  <si>
    <t>Jun 28, 2013</t>
  </si>
  <si>
    <t>-15.02B</t>
  </si>
  <si>
    <t>May 31, 2013</t>
  </si>
  <si>
    <t>-7.77B</t>
  </si>
  <si>
    <t>Apr 30, 2013</t>
  </si>
  <si>
    <t>-9.52B</t>
  </si>
  <si>
    <t>Mar 28, 2013</t>
  </si>
  <si>
    <t>-24.53B</t>
  </si>
  <si>
    <t>Feb 28, 2013</t>
  </si>
  <si>
    <t>-2.70B</t>
  </si>
  <si>
    <t>Jan 31, 2013</t>
  </si>
  <si>
    <t>-7.94B</t>
  </si>
  <si>
    <t>Dec 28, 2012</t>
  </si>
  <si>
    <t>-21.20B</t>
  </si>
  <si>
    <t>Nov 30, 2012</t>
  </si>
  <si>
    <t>Oct 31, 2012</t>
  </si>
  <si>
    <t>Sep 28, 2012</t>
  </si>
  <si>
    <t>-6.70B</t>
  </si>
  <si>
    <t>Aug 31, 2012</t>
  </si>
  <si>
    <t>Aug 20, 2012</t>
  </si>
  <si>
    <t>Jul 31, 2012</t>
  </si>
  <si>
    <t>Jun 29, 2012</t>
  </si>
  <si>
    <t>-9.90B</t>
  </si>
  <si>
    <t>May 31, 2012</t>
  </si>
  <si>
    <t>Apr 30, 2012</t>
  </si>
  <si>
    <t>-7.50B</t>
  </si>
  <si>
    <t>Mar 30, 2012</t>
  </si>
  <si>
    <t>-13.50B</t>
  </si>
  <si>
    <t>Mar 01, 2012 (Feb)</t>
  </si>
  <si>
    <t>0.61B</t>
  </si>
  <si>
    <t>-9.42B</t>
  </si>
  <si>
    <t>Feb 01, 2012 (Jan)</t>
  </si>
  <si>
    <t>9.94B</t>
  </si>
  <si>
    <t>Jan 01, 2012 (Dec)</t>
  </si>
  <si>
    <t>-1.78B</t>
  </si>
  <si>
    <t>Dec 01, 2011 (Nov)</t>
  </si>
  <si>
    <t>-3.87B</t>
  </si>
  <si>
    <t>Nov 01, 2011 (Oct)</t>
  </si>
  <si>
    <t>8.90B</t>
  </si>
  <si>
    <t>Oct 01, 2011 (Sep)</t>
  </si>
  <si>
    <t>1.38B</t>
  </si>
  <si>
    <t>Sep 01, 2011 (Aug)</t>
  </si>
  <si>
    <t>2.86B</t>
  </si>
  <si>
    <t>Aug 01, 2011 (Jul)</t>
  </si>
  <si>
    <t>10.77B</t>
  </si>
  <si>
    <t>Jul 01, 2011 (Jun)</t>
  </si>
  <si>
    <t>2.14B</t>
  </si>
  <si>
    <t>Jun 01, 2011 (May)</t>
  </si>
  <si>
    <t>4.08B</t>
  </si>
  <si>
    <t>May 01, 2011 (Apr)</t>
  </si>
  <si>
    <t>6.28B</t>
  </si>
  <si>
    <t>Apr 01, 2011 (Mar)</t>
  </si>
  <si>
    <t>3.42B</t>
  </si>
  <si>
    <t>Mar 01, 2011 (Feb)</t>
  </si>
  <si>
    <t>-0.44B</t>
  </si>
  <si>
    <t>Feb 01, 2011 (Jan)</t>
  </si>
  <si>
    <t>14.96B</t>
  </si>
  <si>
    <t>Jan 01, 2011 (Dec)</t>
  </si>
  <si>
    <t>8.49B</t>
  </si>
  <si>
    <t>Dec 01, 2010 (Nov)</t>
  </si>
  <si>
    <t>5.02B</t>
  </si>
  <si>
    <t>Nov 01, 2010 (Oct)</t>
  </si>
  <si>
    <t>8.42B</t>
  </si>
  <si>
    <t>Oct 01, 2010 (Sep)</t>
  </si>
  <si>
    <t>-0.42B</t>
  </si>
  <si>
    <t>Sep 01, 2010 (Aug)</t>
  </si>
  <si>
    <t>6.17B</t>
  </si>
  <si>
    <t>Aug 01, 2010 (Jul)</t>
  </si>
  <si>
    <t>9.90B</t>
  </si>
  <si>
    <t>Jul 01, 2010 (Jun)</t>
  </si>
  <si>
    <t>3.92B</t>
  </si>
  <si>
    <t>Jun 01, 2010 (May)</t>
  </si>
  <si>
    <t>1.28B</t>
  </si>
  <si>
    <t>May 01, 2010 (Apr)</t>
  </si>
  <si>
    <t>3.23B</t>
  </si>
  <si>
    <t>Apr 01, 2010 (Mar)</t>
  </si>
  <si>
    <t>-1.35B</t>
  </si>
  <si>
    <t>Mar 01, 2010 (Feb)</t>
  </si>
  <si>
    <t>0.52B</t>
  </si>
  <si>
    <t>Feb 01, 2010 (Jan)</t>
  </si>
  <si>
    <t>Year</t>
  </si>
  <si>
    <t>Year_</t>
  </si>
  <si>
    <t>Month No</t>
  </si>
  <si>
    <t>Trade Blance</t>
  </si>
  <si>
    <t>Trade balance (Rands)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</si>
</sst>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EEA64C-4351-458D-84A5-1EE7EEB73CD6}" name="Table1" displayName="Table1" ref="A1:G193" totalsRowShown="0">
  <autoFilter ref="A1:G193" xr:uid="{B4EEA64C-4351-458D-84A5-1EE7EEB73CD6}"/>
  <tableColumns count="7">
    <tableColumn id="1" xr3:uid="{305FA4DA-9F60-405F-83F3-F2665DB80C66}" name="elease Date"/>
    <tableColumn id="3" xr3:uid="{76B35404-00D6-4C8C-B3B7-BD70B43A4151}" name="Actual"/>
    <tableColumn id="5" xr3:uid="{977DA00B-6DA2-4119-B171-AE76165D6C6B}" name="Trade Blance"/>
    <tableColumn id="14" xr3:uid="{8F6C8599-EC6B-41C0-A35C-E6ED22BA49D9}" name="Trade balance (Rands)" dataDxfId="0">
      <calculatedColumnFormula>LEFT(Table1[[#This Row],[Actual]],LEN(Table1[[#This Row],[Actual]])-1)*1000000000</calculatedColumnFormula>
    </tableColumn>
    <tableColumn id="7" xr3:uid="{EEE55006-82BE-4550-B2CE-111A2420E4C0}" name="Month No" dataDxfId="1">
      <calculatedColumnFormula>MONTH(DATEVALUE(_xlfn.TEXTBEFORE(Table1[[#This Row],[elease Date]], " " ) &amp; 1) -1)</calculatedColumnFormula>
    </tableColumn>
    <tableColumn id="8" xr3:uid="{B179D833-8164-4F12-AB19-255520AE5499}" name="Year_" dataDxfId="3">
      <calculatedColumnFormula>_xlfn.TEXTAFTER(Table1[[#This Row],[elease Date]], ", ")</calculatedColumnFormula>
    </tableColumn>
    <tableColumn id="9" xr3:uid="{659086B6-519E-4079-9D61-2B3BD48CB308}" name="Year" dataDxfId="2">
      <calculatedColumnFormula>IF(LEN(Table1[[#This Row],[Year_]]) = 4,Table1[[#This Row],[Year_]], _xlfn.TEXTBEFORE(Table1[[#This Row],[Year_]], " 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0599-AE6A-4547-ACA8-9D6B21946324}">
  <dimension ref="A1:G193"/>
  <sheetViews>
    <sheetView tabSelected="1" workbookViewId="0">
      <selection activeCell="D2" sqref="D2"/>
    </sheetView>
  </sheetViews>
  <sheetFormatPr defaultRowHeight="15" x14ac:dyDescent="0.25"/>
  <cols>
    <col min="1" max="1" width="17.28515625" bestFit="1" customWidth="1"/>
    <col min="3" max="3" width="11" customWidth="1"/>
    <col min="4" max="4" width="12.7109375" bestFit="1" customWidth="1"/>
    <col min="5" max="5" width="12" bestFit="1" customWidth="1"/>
    <col min="6" max="6" width="10.42578125" bestFit="1" customWidth="1"/>
  </cols>
  <sheetData>
    <row r="1" spans="1:7" x14ac:dyDescent="0.25">
      <c r="A1" t="s">
        <v>0</v>
      </c>
      <c r="B1" t="s">
        <v>1</v>
      </c>
      <c r="C1" t="s">
        <v>495</v>
      </c>
      <c r="D1" t="s">
        <v>496</v>
      </c>
      <c r="E1" t="s">
        <v>494</v>
      </c>
      <c r="F1" t="s">
        <v>493</v>
      </c>
      <c r="G1" t="s">
        <v>492</v>
      </c>
    </row>
    <row r="2" spans="1:7" x14ac:dyDescent="0.25">
      <c r="A2" t="s">
        <v>2</v>
      </c>
      <c r="C2" t="s">
        <v>3</v>
      </c>
      <c r="D2" t="e">
        <f>LEFT(Table1[[#This Row],[Actual]],LEN(Table1[[#This Row],[Actual]])-1)*1000000000</f>
        <v>#VALUE!</v>
      </c>
      <c r="E2">
        <f>MONTH(DATEVALUE(_xlfn.TEXTBEFORE(Table1[[#This Row],[elease Date]], " " ) &amp; 1) -1)</f>
        <v>10</v>
      </c>
      <c r="F2" t="str">
        <f>_xlfn.TEXTAFTER(Table1[[#This Row],[elease Date]], ", ")</f>
        <v>2025 (Oct)</v>
      </c>
      <c r="G2" s="1" t="str">
        <f>IF(LEN(Table1[[#This Row],[Year_]]) = 4,Table1[[#This Row],[Year_]], _xlfn.TEXTBEFORE(Table1[[#This Row],[Year_]], " "))</f>
        <v>2025</v>
      </c>
    </row>
    <row r="3" spans="1:7" x14ac:dyDescent="0.25">
      <c r="A3" t="s">
        <v>4</v>
      </c>
      <c r="B3" t="s">
        <v>3</v>
      </c>
      <c r="C3" t="s">
        <v>5</v>
      </c>
      <c r="D3">
        <f>LEFT(Table1[[#This Row],[Actual]],LEN(Table1[[#This Row],[Actual]])-1)*1000000000</f>
        <v>21760000000</v>
      </c>
      <c r="E3">
        <f>MONTH(DATEVALUE(_xlfn.TEXTBEFORE(Table1[[#This Row],[elease Date]], " " ) &amp; 1) -1)</f>
        <v>9</v>
      </c>
      <c r="F3" t="str">
        <f>_xlfn.TEXTAFTER(Table1[[#This Row],[elease Date]], ", ")</f>
        <v>2025 (Sep)</v>
      </c>
      <c r="G3" s="1" t="str">
        <f>IF(LEN(Table1[[#This Row],[Year_]]) = 4,Table1[[#This Row],[Year_]], _xlfn.TEXTBEFORE(Table1[[#This Row],[Year_]], " "))</f>
        <v>2025</v>
      </c>
    </row>
    <row r="4" spans="1:7" x14ac:dyDescent="0.25">
      <c r="A4" t="s">
        <v>6</v>
      </c>
      <c r="B4" t="s">
        <v>7</v>
      </c>
      <c r="C4" t="s">
        <v>8</v>
      </c>
      <c r="D4">
        <f>LEFT(Table1[[#This Row],[Actual]],LEN(Table1[[#This Row],[Actual]])-1)*1000000000</f>
        <v>3970000000</v>
      </c>
      <c r="E4">
        <f>MONTH(DATEVALUE(_xlfn.TEXTBEFORE(Table1[[#This Row],[elease Date]], " " ) &amp; 1) -1)</f>
        <v>8</v>
      </c>
      <c r="F4" t="str">
        <f>_xlfn.TEXTAFTER(Table1[[#This Row],[elease Date]], ", ")</f>
        <v>2025 (Aug)</v>
      </c>
      <c r="G4" s="1" t="str">
        <f>IF(LEN(Table1[[#This Row],[Year_]]) = 4,Table1[[#This Row],[Year_]], _xlfn.TEXTBEFORE(Table1[[#This Row],[Year_]], " "))</f>
        <v>2025</v>
      </c>
    </row>
    <row r="5" spans="1:7" x14ac:dyDescent="0.25">
      <c r="A5" t="s">
        <v>9</v>
      </c>
      <c r="B5" t="s">
        <v>10</v>
      </c>
      <c r="C5" t="s">
        <v>11</v>
      </c>
      <c r="D5">
        <f>LEFT(Table1[[#This Row],[Actual]],LEN(Table1[[#This Row],[Actual]])-1)*1000000000</f>
        <v>20290000000</v>
      </c>
      <c r="E5">
        <f>MONTH(DATEVALUE(_xlfn.TEXTBEFORE(Table1[[#This Row],[elease Date]], " " ) &amp; 1) -1)</f>
        <v>7</v>
      </c>
      <c r="F5" t="str">
        <f>_xlfn.TEXTAFTER(Table1[[#This Row],[elease Date]], ", ")</f>
        <v>2025 (Jul)</v>
      </c>
      <c r="G5" s="1" t="str">
        <f>IF(LEN(Table1[[#This Row],[Year_]]) = 4,Table1[[#This Row],[Year_]], _xlfn.TEXTBEFORE(Table1[[#This Row],[Year_]], " "))</f>
        <v>2025</v>
      </c>
    </row>
    <row r="6" spans="1:7" x14ac:dyDescent="0.25">
      <c r="A6" t="s">
        <v>12</v>
      </c>
      <c r="B6" t="s">
        <v>13</v>
      </c>
      <c r="C6" t="s">
        <v>14</v>
      </c>
      <c r="D6">
        <f>LEFT(Table1[[#This Row],[Actual]],LEN(Table1[[#This Row],[Actual]])-1)*1000000000</f>
        <v>22040000000</v>
      </c>
      <c r="E6">
        <f>MONTH(DATEVALUE(_xlfn.TEXTBEFORE(Table1[[#This Row],[elease Date]], " " ) &amp; 1) -1)</f>
        <v>6</v>
      </c>
      <c r="F6" t="str">
        <f>_xlfn.TEXTAFTER(Table1[[#This Row],[elease Date]], ", ")</f>
        <v>2025 (Jun)</v>
      </c>
      <c r="G6" s="1" t="str">
        <f>IF(LEN(Table1[[#This Row],[Year_]]) = 4,Table1[[#This Row],[Year_]], _xlfn.TEXTBEFORE(Table1[[#This Row],[Year_]], " "))</f>
        <v>2025</v>
      </c>
    </row>
    <row r="7" spans="1:7" x14ac:dyDescent="0.25">
      <c r="A7" t="s">
        <v>15</v>
      </c>
      <c r="B7" t="s">
        <v>16</v>
      </c>
      <c r="C7" t="s">
        <v>17</v>
      </c>
      <c r="D7">
        <f>LEFT(Table1[[#This Row],[Actual]],LEN(Table1[[#This Row],[Actual]])-1)*1000000000</f>
        <v>21670000000</v>
      </c>
      <c r="E7">
        <f>MONTH(DATEVALUE(_xlfn.TEXTBEFORE(Table1[[#This Row],[elease Date]], " " ) &amp; 1) -1)</f>
        <v>5</v>
      </c>
      <c r="F7" t="str">
        <f>_xlfn.TEXTAFTER(Table1[[#This Row],[elease Date]], ", ")</f>
        <v>2025 (May)</v>
      </c>
      <c r="G7" s="1" t="str">
        <f>IF(LEN(Table1[[#This Row],[Year_]]) = 4,Table1[[#This Row],[Year_]], _xlfn.TEXTBEFORE(Table1[[#This Row],[Year_]], " "))</f>
        <v>2025</v>
      </c>
    </row>
    <row r="8" spans="1:7" x14ac:dyDescent="0.25">
      <c r="A8" t="s">
        <v>18</v>
      </c>
      <c r="B8" t="s">
        <v>19</v>
      </c>
      <c r="C8" t="s">
        <v>20</v>
      </c>
      <c r="D8">
        <f>LEFT(Table1[[#This Row],[Actual]],LEN(Table1[[#This Row],[Actual]])-1)*1000000000</f>
        <v>14080000000</v>
      </c>
      <c r="E8">
        <f>MONTH(DATEVALUE(_xlfn.TEXTBEFORE(Table1[[#This Row],[elease Date]], " " ) &amp; 1) -1)</f>
        <v>4</v>
      </c>
      <c r="F8" t="str">
        <f>_xlfn.TEXTAFTER(Table1[[#This Row],[elease Date]], ", ")</f>
        <v>2025 (Apr)</v>
      </c>
      <c r="G8" s="1" t="str">
        <f>IF(LEN(Table1[[#This Row],[Year_]]) = 4,Table1[[#This Row],[Year_]], _xlfn.TEXTBEFORE(Table1[[#This Row],[Year_]], " "))</f>
        <v>2025</v>
      </c>
    </row>
    <row r="9" spans="1:7" x14ac:dyDescent="0.25">
      <c r="A9" t="s">
        <v>21</v>
      </c>
      <c r="B9" t="s">
        <v>22</v>
      </c>
      <c r="C9" t="s">
        <v>23</v>
      </c>
      <c r="D9">
        <f>LEFT(Table1[[#This Row],[Actual]],LEN(Table1[[#This Row],[Actual]])-1)*1000000000</f>
        <v>24770000000</v>
      </c>
      <c r="E9">
        <f>MONTH(DATEVALUE(_xlfn.TEXTBEFORE(Table1[[#This Row],[elease Date]], " " ) &amp; 1) -1)</f>
        <v>3</v>
      </c>
      <c r="F9" t="str">
        <f>_xlfn.TEXTAFTER(Table1[[#This Row],[elease Date]], ", ")</f>
        <v>2025 (Mar)</v>
      </c>
      <c r="G9" s="1" t="str">
        <f>IF(LEN(Table1[[#This Row],[Year_]]) = 4,Table1[[#This Row],[Year_]], _xlfn.TEXTBEFORE(Table1[[#This Row],[Year_]], " "))</f>
        <v>2025</v>
      </c>
    </row>
    <row r="10" spans="1:7" x14ac:dyDescent="0.25">
      <c r="A10" t="s">
        <v>24</v>
      </c>
      <c r="B10" t="s">
        <v>25</v>
      </c>
      <c r="C10" t="s">
        <v>26</v>
      </c>
      <c r="D10">
        <f>LEFT(Table1[[#This Row],[Actual]],LEN(Table1[[#This Row],[Actual]])-1)*1000000000</f>
        <v>20900000000</v>
      </c>
      <c r="E10">
        <f>MONTH(DATEVALUE(_xlfn.TEXTBEFORE(Table1[[#This Row],[elease Date]], " " ) &amp; 1) -1)</f>
        <v>2</v>
      </c>
      <c r="F10" t="str">
        <f>_xlfn.TEXTAFTER(Table1[[#This Row],[elease Date]], ", ")</f>
        <v>2025 (Feb)</v>
      </c>
      <c r="G10" s="1" t="str">
        <f>IF(LEN(Table1[[#This Row],[Year_]]) = 4,Table1[[#This Row],[Year_]], _xlfn.TEXTBEFORE(Table1[[#This Row],[Year_]], " "))</f>
        <v>2025</v>
      </c>
    </row>
    <row r="11" spans="1:7" x14ac:dyDescent="0.25">
      <c r="A11" t="s">
        <v>27</v>
      </c>
      <c r="B11" t="s">
        <v>28</v>
      </c>
      <c r="C11" t="s">
        <v>29</v>
      </c>
      <c r="D11">
        <f>LEFT(Table1[[#This Row],[Actual]],LEN(Table1[[#This Row],[Actual]])-1)*1000000000</f>
        <v>-16420000000.000002</v>
      </c>
      <c r="E11">
        <f>MONTH(DATEVALUE(_xlfn.TEXTBEFORE(Table1[[#This Row],[elease Date]], " " ) &amp; 1) -1)</f>
        <v>1</v>
      </c>
      <c r="F11" t="str">
        <f>_xlfn.TEXTAFTER(Table1[[#This Row],[elease Date]], ", ")</f>
        <v>2025 (Jan)</v>
      </c>
      <c r="G11" s="1" t="str">
        <f>IF(LEN(Table1[[#This Row],[Year_]]) = 4,Table1[[#This Row],[Year_]], _xlfn.TEXTBEFORE(Table1[[#This Row],[Year_]], " "))</f>
        <v>2025</v>
      </c>
    </row>
    <row r="12" spans="1:7" x14ac:dyDescent="0.25">
      <c r="A12" t="s">
        <v>30</v>
      </c>
      <c r="B12" t="s">
        <v>31</v>
      </c>
      <c r="C12" t="s">
        <v>32</v>
      </c>
      <c r="D12">
        <f>LEFT(Table1[[#This Row],[Actual]],LEN(Table1[[#This Row],[Actual]])-1)*1000000000</f>
        <v>15460000000</v>
      </c>
      <c r="E12">
        <f>MONTH(DATEVALUE(_xlfn.TEXTBEFORE(Table1[[#This Row],[elease Date]], " " ) &amp; 1) -1)</f>
        <v>12</v>
      </c>
      <c r="F12" t="str">
        <f>_xlfn.TEXTAFTER(Table1[[#This Row],[elease Date]], ", ")</f>
        <v>2025 (Dec)</v>
      </c>
      <c r="G12" s="1" t="str">
        <f>IF(LEN(Table1[[#This Row],[Year_]]) = 4,Table1[[#This Row],[Year_]], _xlfn.TEXTBEFORE(Table1[[#This Row],[Year_]], " "))</f>
        <v>2025</v>
      </c>
    </row>
    <row r="13" spans="1:7" x14ac:dyDescent="0.25">
      <c r="A13" t="s">
        <v>33</v>
      </c>
      <c r="B13" t="s">
        <v>34</v>
      </c>
      <c r="C13" t="s">
        <v>35</v>
      </c>
      <c r="D13">
        <f>LEFT(Table1[[#This Row],[Actual]],LEN(Table1[[#This Row],[Actual]])-1)*1000000000</f>
        <v>34700000000</v>
      </c>
      <c r="E13">
        <f>MONTH(DATEVALUE(_xlfn.TEXTBEFORE(Table1[[#This Row],[elease Date]], " " ) &amp; 1) -1)</f>
        <v>11</v>
      </c>
      <c r="F13" t="str">
        <f>_xlfn.TEXTAFTER(Table1[[#This Row],[elease Date]], ", ")</f>
        <v>2024 (Nov)</v>
      </c>
      <c r="G13" s="1" t="str">
        <f>IF(LEN(Table1[[#This Row],[Year_]]) = 4,Table1[[#This Row],[Year_]], _xlfn.TEXTBEFORE(Table1[[#This Row],[Year_]], " "))</f>
        <v>2024</v>
      </c>
    </row>
    <row r="14" spans="1:7" x14ac:dyDescent="0.25">
      <c r="A14" t="s">
        <v>36</v>
      </c>
      <c r="B14" t="s">
        <v>37</v>
      </c>
      <c r="C14" t="s">
        <v>38</v>
      </c>
      <c r="D14">
        <f>LEFT(Table1[[#This Row],[Actual]],LEN(Table1[[#This Row],[Actual]])-1)*1000000000</f>
        <v>14630000000</v>
      </c>
      <c r="E14">
        <f>MONTH(DATEVALUE(_xlfn.TEXTBEFORE(Table1[[#This Row],[elease Date]], " " ) &amp; 1) -1)</f>
        <v>10</v>
      </c>
      <c r="F14" t="str">
        <f>_xlfn.TEXTAFTER(Table1[[#This Row],[elease Date]], ", ")</f>
        <v>2024 (Oct)</v>
      </c>
      <c r="G14" s="1" t="str">
        <f>IF(LEN(Table1[[#This Row],[Year_]]) = 4,Table1[[#This Row],[Year_]], _xlfn.TEXTBEFORE(Table1[[#This Row],[Year_]], " "))</f>
        <v>2024</v>
      </c>
    </row>
    <row r="15" spans="1:7" x14ac:dyDescent="0.25">
      <c r="A15" t="s">
        <v>39</v>
      </c>
      <c r="B15" t="s">
        <v>40</v>
      </c>
      <c r="C15" t="s">
        <v>41</v>
      </c>
      <c r="D15">
        <f>LEFT(Table1[[#This Row],[Actual]],LEN(Table1[[#This Row],[Actual]])-1)*1000000000</f>
        <v>12840000000</v>
      </c>
      <c r="E15">
        <f>MONTH(DATEVALUE(_xlfn.TEXTBEFORE(Table1[[#This Row],[elease Date]], " " ) &amp; 1) -1)</f>
        <v>9</v>
      </c>
      <c r="F15" t="str">
        <f>_xlfn.TEXTAFTER(Table1[[#This Row],[elease Date]], ", ")</f>
        <v>2024 (Sep)</v>
      </c>
      <c r="G15" s="1" t="str">
        <f>IF(LEN(Table1[[#This Row],[Year_]]) = 4,Table1[[#This Row],[Year_]], _xlfn.TEXTBEFORE(Table1[[#This Row],[Year_]], " "))</f>
        <v>2024</v>
      </c>
    </row>
    <row r="16" spans="1:7" x14ac:dyDescent="0.25">
      <c r="A16" t="s">
        <v>42</v>
      </c>
      <c r="B16" t="s">
        <v>43</v>
      </c>
      <c r="C16" t="s">
        <v>44</v>
      </c>
      <c r="D16">
        <f>LEFT(Table1[[#This Row],[Actual]],LEN(Table1[[#This Row],[Actual]])-1)*1000000000</f>
        <v>5630000000</v>
      </c>
      <c r="E16">
        <f>MONTH(DATEVALUE(_xlfn.TEXTBEFORE(Table1[[#This Row],[elease Date]], " " ) &amp; 1) -1)</f>
        <v>8</v>
      </c>
      <c r="F16" t="str">
        <f>_xlfn.TEXTAFTER(Table1[[#This Row],[elease Date]], ", ")</f>
        <v>2024 (Aug)</v>
      </c>
      <c r="G16" s="1" t="str">
        <f>IF(LEN(Table1[[#This Row],[Year_]]) = 4,Table1[[#This Row],[Year_]], _xlfn.TEXTBEFORE(Table1[[#This Row],[Year_]], " "))</f>
        <v>2024</v>
      </c>
    </row>
    <row r="17" spans="1:7" x14ac:dyDescent="0.25">
      <c r="A17" t="s">
        <v>45</v>
      </c>
      <c r="B17" t="s">
        <v>46</v>
      </c>
      <c r="C17" t="s">
        <v>47</v>
      </c>
      <c r="D17">
        <f>LEFT(Table1[[#This Row],[Actual]],LEN(Table1[[#This Row],[Actual]])-1)*1000000000</f>
        <v>17610000000</v>
      </c>
      <c r="E17">
        <f>MONTH(DATEVALUE(_xlfn.TEXTBEFORE(Table1[[#This Row],[elease Date]], " " ) &amp; 1) -1)</f>
        <v>7</v>
      </c>
      <c r="F17" t="str">
        <f>_xlfn.TEXTAFTER(Table1[[#This Row],[elease Date]], ", ")</f>
        <v>2024 (Jul)</v>
      </c>
      <c r="G17" s="1" t="str">
        <f>IF(LEN(Table1[[#This Row],[Year_]]) = 4,Table1[[#This Row],[Year_]], _xlfn.TEXTBEFORE(Table1[[#This Row],[Year_]], " "))</f>
        <v>2024</v>
      </c>
    </row>
    <row r="18" spans="1:7" x14ac:dyDescent="0.25">
      <c r="A18" t="s">
        <v>48</v>
      </c>
      <c r="B18" t="s">
        <v>49</v>
      </c>
      <c r="C18" t="s">
        <v>50</v>
      </c>
      <c r="D18">
        <f>LEFT(Table1[[#This Row],[Actual]],LEN(Table1[[#This Row],[Actual]])-1)*1000000000</f>
        <v>24230000000</v>
      </c>
      <c r="E18">
        <f>MONTH(DATEVALUE(_xlfn.TEXTBEFORE(Table1[[#This Row],[elease Date]], " " ) &amp; 1) -1)</f>
        <v>6</v>
      </c>
      <c r="F18" t="str">
        <f>_xlfn.TEXTAFTER(Table1[[#This Row],[elease Date]], ", ")</f>
        <v>2024 (Jun)</v>
      </c>
      <c r="G18" s="1" t="str">
        <f>IF(LEN(Table1[[#This Row],[Year_]]) = 4,Table1[[#This Row],[Year_]], _xlfn.TEXTBEFORE(Table1[[#This Row],[Year_]], " "))</f>
        <v>2024</v>
      </c>
    </row>
    <row r="19" spans="1:7" x14ac:dyDescent="0.25">
      <c r="A19" t="s">
        <v>51</v>
      </c>
      <c r="B19" t="s">
        <v>52</v>
      </c>
      <c r="C19" t="s">
        <v>53</v>
      </c>
      <c r="D19">
        <f>LEFT(Table1[[#This Row],[Actual]],LEN(Table1[[#This Row],[Actual]])-1)*1000000000</f>
        <v>20090000000</v>
      </c>
      <c r="E19">
        <f>MONTH(DATEVALUE(_xlfn.TEXTBEFORE(Table1[[#This Row],[elease Date]], " " ) &amp; 1) -1)</f>
        <v>5</v>
      </c>
      <c r="F19" t="str">
        <f>_xlfn.TEXTAFTER(Table1[[#This Row],[elease Date]], ", ")</f>
        <v>2024 (May)</v>
      </c>
      <c r="G19" s="1" t="str">
        <f>IF(LEN(Table1[[#This Row],[Year_]]) = 4,Table1[[#This Row],[Year_]], _xlfn.TEXTBEFORE(Table1[[#This Row],[Year_]], " "))</f>
        <v>2024</v>
      </c>
    </row>
    <row r="20" spans="1:7" x14ac:dyDescent="0.25">
      <c r="A20" t="s">
        <v>54</v>
      </c>
      <c r="B20" t="s">
        <v>55</v>
      </c>
      <c r="C20" t="s">
        <v>56</v>
      </c>
      <c r="D20">
        <f>LEFT(Table1[[#This Row],[Actual]],LEN(Table1[[#This Row],[Actual]])-1)*1000000000</f>
        <v>10470000000</v>
      </c>
      <c r="E20">
        <f>MONTH(DATEVALUE(_xlfn.TEXTBEFORE(Table1[[#This Row],[elease Date]], " " ) &amp; 1) -1)</f>
        <v>4</v>
      </c>
      <c r="F20" t="str">
        <f>_xlfn.TEXTAFTER(Table1[[#This Row],[elease Date]], ", ")</f>
        <v>2024 (Apr)</v>
      </c>
      <c r="G20" s="1" t="str">
        <f>IF(LEN(Table1[[#This Row],[Year_]]) = 4,Table1[[#This Row],[Year_]], _xlfn.TEXTBEFORE(Table1[[#This Row],[Year_]], " "))</f>
        <v>2024</v>
      </c>
    </row>
    <row r="21" spans="1:7" x14ac:dyDescent="0.25">
      <c r="A21" t="s">
        <v>57</v>
      </c>
      <c r="B21" t="s">
        <v>56</v>
      </c>
      <c r="C21" t="s">
        <v>58</v>
      </c>
      <c r="D21">
        <f>LEFT(Table1[[#This Row],[Actual]],LEN(Table1[[#This Row],[Actual]])-1)*1000000000</f>
        <v>7270000000</v>
      </c>
      <c r="E21">
        <f>MONTH(DATEVALUE(_xlfn.TEXTBEFORE(Table1[[#This Row],[elease Date]], " " ) &amp; 1) -1)</f>
        <v>3</v>
      </c>
      <c r="F21" t="str">
        <f>_xlfn.TEXTAFTER(Table1[[#This Row],[elease Date]], ", ")</f>
        <v>2024 (Mar)</v>
      </c>
      <c r="G21" s="1" t="str">
        <f>IF(LEN(Table1[[#This Row],[Year_]]) = 4,Table1[[#This Row],[Year_]], _xlfn.TEXTBEFORE(Table1[[#This Row],[Year_]], " "))</f>
        <v>2024</v>
      </c>
    </row>
    <row r="22" spans="1:7" x14ac:dyDescent="0.25">
      <c r="A22" t="s">
        <v>59</v>
      </c>
      <c r="B22" t="s">
        <v>58</v>
      </c>
      <c r="C22" t="s">
        <v>60</v>
      </c>
      <c r="D22">
        <f>LEFT(Table1[[#This Row],[Actual]],LEN(Table1[[#This Row],[Actual]])-1)*1000000000</f>
        <v>14040000000</v>
      </c>
      <c r="E22">
        <f>MONTH(DATEVALUE(_xlfn.TEXTBEFORE(Table1[[#This Row],[elease Date]], " " ) &amp; 1) -1)</f>
        <v>2</v>
      </c>
      <c r="F22" t="str">
        <f>_xlfn.TEXTAFTER(Table1[[#This Row],[elease Date]], ", ")</f>
        <v>2024 (Feb)</v>
      </c>
      <c r="G22" s="1" t="str">
        <f>IF(LEN(Table1[[#This Row],[Year_]]) = 4,Table1[[#This Row],[Year_]], _xlfn.TEXTBEFORE(Table1[[#This Row],[Year_]], " "))</f>
        <v>2024</v>
      </c>
    </row>
    <row r="23" spans="1:7" x14ac:dyDescent="0.25">
      <c r="A23" t="s">
        <v>61</v>
      </c>
      <c r="B23" t="s">
        <v>60</v>
      </c>
      <c r="C23" t="s">
        <v>62</v>
      </c>
      <c r="D23">
        <f>LEFT(Table1[[#This Row],[Actual]],LEN(Table1[[#This Row],[Actual]])-1)*1000000000</f>
        <v>-9440000000</v>
      </c>
      <c r="E23">
        <f>MONTH(DATEVALUE(_xlfn.TEXTBEFORE(Table1[[#This Row],[elease Date]], " " ) &amp; 1) -1)</f>
        <v>1</v>
      </c>
      <c r="F23" t="str">
        <f>_xlfn.TEXTAFTER(Table1[[#This Row],[elease Date]], ", ")</f>
        <v>2024 (Jan)</v>
      </c>
      <c r="G23" s="1" t="str">
        <f>IF(LEN(Table1[[#This Row],[Year_]]) = 4,Table1[[#This Row],[Year_]], _xlfn.TEXTBEFORE(Table1[[#This Row],[Year_]], " "))</f>
        <v>2024</v>
      </c>
    </row>
    <row r="24" spans="1:7" x14ac:dyDescent="0.25">
      <c r="A24" t="s">
        <v>63</v>
      </c>
      <c r="B24" t="s">
        <v>62</v>
      </c>
      <c r="C24" t="s">
        <v>64</v>
      </c>
      <c r="D24">
        <f>LEFT(Table1[[#This Row],[Actual]],LEN(Table1[[#This Row],[Actual]])-1)*1000000000</f>
        <v>14060000000</v>
      </c>
      <c r="E24">
        <f>MONTH(DATEVALUE(_xlfn.TEXTBEFORE(Table1[[#This Row],[elease Date]], " " ) &amp; 1) -1)</f>
        <v>12</v>
      </c>
      <c r="F24" t="str">
        <f>_xlfn.TEXTAFTER(Table1[[#This Row],[elease Date]], ", ")</f>
        <v>2024 (Dec)</v>
      </c>
      <c r="G24" s="1" t="str">
        <f>IF(LEN(Table1[[#This Row],[Year_]]) = 4,Table1[[#This Row],[Year_]], _xlfn.TEXTBEFORE(Table1[[#This Row],[Year_]], " "))</f>
        <v>2024</v>
      </c>
    </row>
    <row r="25" spans="1:7" x14ac:dyDescent="0.25">
      <c r="A25" t="s">
        <v>65</v>
      </c>
      <c r="B25" t="s">
        <v>66</v>
      </c>
      <c r="C25" t="s">
        <v>68</v>
      </c>
      <c r="D25">
        <f>LEFT(Table1[[#This Row],[Actual]],LEN(Table1[[#This Row],[Actual]])-1)*1000000000</f>
        <v>21020000000</v>
      </c>
      <c r="E25">
        <f>MONTH(DATEVALUE(_xlfn.TEXTBEFORE(Table1[[#This Row],[elease Date]], " " ) &amp; 1) -1)</f>
        <v>11</v>
      </c>
      <c r="F25" t="str">
        <f>_xlfn.TEXTAFTER(Table1[[#This Row],[elease Date]], ", ")</f>
        <v>2023 (Nov)</v>
      </c>
      <c r="G25" s="1" t="str">
        <f>IF(LEN(Table1[[#This Row],[Year_]]) = 4,Table1[[#This Row],[Year_]], _xlfn.TEXTBEFORE(Table1[[#This Row],[Year_]], " "))</f>
        <v>2023</v>
      </c>
    </row>
    <row r="26" spans="1:7" x14ac:dyDescent="0.25">
      <c r="A26" t="s">
        <v>69</v>
      </c>
      <c r="B26" t="s">
        <v>70</v>
      </c>
      <c r="C26" t="s">
        <v>71</v>
      </c>
      <c r="D26">
        <f>LEFT(Table1[[#This Row],[Actual]],LEN(Table1[[#This Row],[Actual]])-1)*1000000000</f>
        <v>-12660000000</v>
      </c>
      <c r="E26">
        <f>MONTH(DATEVALUE(_xlfn.TEXTBEFORE(Table1[[#This Row],[elease Date]], " " ) &amp; 1) -1)</f>
        <v>10</v>
      </c>
      <c r="F26" t="str">
        <f>_xlfn.TEXTAFTER(Table1[[#This Row],[elease Date]], ", ")</f>
        <v>2023 (Oct)</v>
      </c>
      <c r="G26" s="1" t="str">
        <f>IF(LEN(Table1[[#This Row],[Year_]]) = 4,Table1[[#This Row],[Year_]], _xlfn.TEXTBEFORE(Table1[[#This Row],[Year_]], " "))</f>
        <v>2023</v>
      </c>
    </row>
    <row r="27" spans="1:7" x14ac:dyDescent="0.25">
      <c r="A27" t="s">
        <v>72</v>
      </c>
      <c r="B27" t="s">
        <v>71</v>
      </c>
      <c r="C27" t="s">
        <v>74</v>
      </c>
      <c r="D27">
        <f>LEFT(Table1[[#This Row],[Actual]],LEN(Table1[[#This Row],[Actual]])-1)*1000000000</f>
        <v>13140000000</v>
      </c>
      <c r="E27">
        <f>MONTH(DATEVALUE(_xlfn.TEXTBEFORE(Table1[[#This Row],[elease Date]], " " ) &amp; 1) -1)</f>
        <v>9</v>
      </c>
      <c r="F27" t="str">
        <f>_xlfn.TEXTAFTER(Table1[[#This Row],[elease Date]], ", ")</f>
        <v>2023 (Sep)</v>
      </c>
      <c r="G27" s="1" t="str">
        <f>IF(LEN(Table1[[#This Row],[Year_]]) = 4,Table1[[#This Row],[Year_]], _xlfn.TEXTBEFORE(Table1[[#This Row],[Year_]], " "))</f>
        <v>2023</v>
      </c>
    </row>
    <row r="28" spans="1:7" x14ac:dyDescent="0.25">
      <c r="A28" t="s">
        <v>75</v>
      </c>
      <c r="B28" t="s">
        <v>76</v>
      </c>
      <c r="C28" t="s">
        <v>77</v>
      </c>
      <c r="D28">
        <f>LEFT(Table1[[#This Row],[Actual]],LEN(Table1[[#This Row],[Actual]])-1)*1000000000</f>
        <v>13280000000</v>
      </c>
      <c r="E28">
        <f>MONTH(DATEVALUE(_xlfn.TEXTBEFORE(Table1[[#This Row],[elease Date]], " " ) &amp; 1) -1)</f>
        <v>8</v>
      </c>
      <c r="F28" t="str">
        <f>_xlfn.TEXTAFTER(Table1[[#This Row],[elease Date]], ", ")</f>
        <v>2023 (Aug)</v>
      </c>
      <c r="G28" s="1" t="str">
        <f>IF(LEN(Table1[[#This Row],[Year_]]) = 4,Table1[[#This Row],[Year_]], _xlfn.TEXTBEFORE(Table1[[#This Row],[Year_]], " "))</f>
        <v>2023</v>
      </c>
    </row>
    <row r="29" spans="1:7" x14ac:dyDescent="0.25">
      <c r="A29" t="s">
        <v>78</v>
      </c>
      <c r="B29" t="s">
        <v>77</v>
      </c>
      <c r="C29" t="s">
        <v>79</v>
      </c>
      <c r="D29">
        <f>LEFT(Table1[[#This Row],[Actual]],LEN(Table1[[#This Row],[Actual]])-1)*1000000000</f>
        <v>15960000000</v>
      </c>
      <c r="E29">
        <f>MONTH(DATEVALUE(_xlfn.TEXTBEFORE(Table1[[#This Row],[elease Date]], " " ) &amp; 1) -1)</f>
        <v>7</v>
      </c>
      <c r="F29" t="str">
        <f>_xlfn.TEXTAFTER(Table1[[#This Row],[elease Date]], ", ")</f>
        <v>2023 (Jul)</v>
      </c>
      <c r="G29" s="1" t="str">
        <f>IF(LEN(Table1[[#This Row],[Year_]]) = 4,Table1[[#This Row],[Year_]], _xlfn.TEXTBEFORE(Table1[[#This Row],[Year_]], " "))</f>
        <v>2023</v>
      </c>
    </row>
    <row r="30" spans="1:7" x14ac:dyDescent="0.25">
      <c r="A30" t="s">
        <v>80</v>
      </c>
      <c r="B30" t="s">
        <v>79</v>
      </c>
      <c r="C30" t="s">
        <v>81</v>
      </c>
      <c r="D30">
        <f>LEFT(Table1[[#This Row],[Actual]],LEN(Table1[[#This Row],[Actual]])-1)*1000000000</f>
        <v>-3540000000</v>
      </c>
      <c r="E30">
        <f>MONTH(DATEVALUE(_xlfn.TEXTBEFORE(Table1[[#This Row],[elease Date]], " " ) &amp; 1) -1)</f>
        <v>6</v>
      </c>
      <c r="F30" t="str">
        <f>_xlfn.TEXTAFTER(Table1[[#This Row],[elease Date]], ", ")</f>
        <v>2023</v>
      </c>
      <c r="G30" s="1" t="str">
        <f>IF(LEN(Table1[[#This Row],[Year_]]) = 4,Table1[[#This Row],[Year_]], _xlfn.TEXTBEFORE(Table1[[#This Row],[Year_]], " "))</f>
        <v>2023</v>
      </c>
    </row>
    <row r="31" spans="1:7" x14ac:dyDescent="0.25">
      <c r="A31" t="s">
        <v>82</v>
      </c>
      <c r="B31" t="s">
        <v>81</v>
      </c>
      <c r="C31" t="s">
        <v>7</v>
      </c>
      <c r="D31">
        <f>LEFT(Table1[[#This Row],[Actual]],LEN(Table1[[#This Row],[Actual]])-1)*1000000000</f>
        <v>10200000000</v>
      </c>
      <c r="E31">
        <f>MONTH(DATEVALUE(_xlfn.TEXTBEFORE(Table1[[#This Row],[elease Date]], " " ) &amp; 1) -1)</f>
        <v>5</v>
      </c>
      <c r="F31" t="str">
        <f>_xlfn.TEXTAFTER(Table1[[#This Row],[elease Date]], ", ")</f>
        <v>2023</v>
      </c>
      <c r="G31" s="1" t="str">
        <f>IF(LEN(Table1[[#This Row],[Year_]]) = 4,Table1[[#This Row],[Year_]], _xlfn.TEXTBEFORE(Table1[[#This Row],[Year_]], " "))</f>
        <v>2023</v>
      </c>
    </row>
    <row r="32" spans="1:7" x14ac:dyDescent="0.25">
      <c r="A32" t="s">
        <v>83</v>
      </c>
      <c r="B32" t="s">
        <v>84</v>
      </c>
      <c r="C32" t="s">
        <v>85</v>
      </c>
      <c r="D32">
        <f>LEFT(Table1[[#This Row],[Actual]],LEN(Table1[[#This Row],[Actual]])-1)*1000000000</f>
        <v>3540000000</v>
      </c>
      <c r="E32">
        <f>MONTH(DATEVALUE(_xlfn.TEXTBEFORE(Table1[[#This Row],[elease Date]], " " ) &amp; 1) -1)</f>
        <v>4</v>
      </c>
      <c r="F32" t="str">
        <f>_xlfn.TEXTAFTER(Table1[[#This Row],[elease Date]], ", ")</f>
        <v>2023</v>
      </c>
      <c r="G32" s="1" t="str">
        <f>IF(LEN(Table1[[#This Row],[Year_]]) = 4,Table1[[#This Row],[Year_]], _xlfn.TEXTBEFORE(Table1[[#This Row],[Year_]], " "))</f>
        <v>2023</v>
      </c>
    </row>
    <row r="33" spans="1:7" x14ac:dyDescent="0.25">
      <c r="A33" t="s">
        <v>86</v>
      </c>
      <c r="B33" t="s">
        <v>87</v>
      </c>
      <c r="C33" t="s">
        <v>88</v>
      </c>
      <c r="D33">
        <f>LEFT(Table1[[#This Row],[Actual]],LEN(Table1[[#This Row],[Actual]])-1)*1000000000</f>
        <v>6890000000</v>
      </c>
      <c r="E33">
        <f>MONTH(DATEVALUE(_xlfn.TEXTBEFORE(Table1[[#This Row],[elease Date]], " " ) &amp; 1) -1)</f>
        <v>3</v>
      </c>
      <c r="F33" t="str">
        <f>_xlfn.TEXTAFTER(Table1[[#This Row],[elease Date]], ", ")</f>
        <v>2023</v>
      </c>
      <c r="G33" s="1" t="str">
        <f>IF(LEN(Table1[[#This Row],[Year_]]) = 4,Table1[[#This Row],[Year_]], _xlfn.TEXTBEFORE(Table1[[#This Row],[Year_]], " "))</f>
        <v>2023</v>
      </c>
    </row>
    <row r="34" spans="1:7" x14ac:dyDescent="0.25">
      <c r="A34" t="s">
        <v>89</v>
      </c>
      <c r="B34" t="s">
        <v>90</v>
      </c>
      <c r="C34" t="s">
        <v>91</v>
      </c>
      <c r="D34">
        <f>LEFT(Table1[[#This Row],[Actual]],LEN(Table1[[#This Row],[Actual]])-1)*1000000000</f>
        <v>16129999999.999998</v>
      </c>
      <c r="E34">
        <f>MONTH(DATEVALUE(_xlfn.TEXTBEFORE(Table1[[#This Row],[elease Date]], " " ) &amp; 1) -1)</f>
        <v>2</v>
      </c>
      <c r="F34" t="str">
        <f>_xlfn.TEXTAFTER(Table1[[#This Row],[elease Date]], ", ")</f>
        <v>2023</v>
      </c>
      <c r="G34" s="1" t="str">
        <f>IF(LEN(Table1[[#This Row],[Year_]]) = 4,Table1[[#This Row],[Year_]], _xlfn.TEXTBEFORE(Table1[[#This Row],[Year_]], " "))</f>
        <v>2023</v>
      </c>
    </row>
    <row r="35" spans="1:7" x14ac:dyDescent="0.25">
      <c r="A35" t="s">
        <v>92</v>
      </c>
      <c r="B35" t="s">
        <v>93</v>
      </c>
      <c r="C35" t="s">
        <v>94</v>
      </c>
      <c r="D35">
        <f>LEFT(Table1[[#This Row],[Actual]],LEN(Table1[[#This Row],[Actual]])-1)*1000000000</f>
        <v>-23050000000</v>
      </c>
      <c r="E35">
        <f>MONTH(DATEVALUE(_xlfn.TEXTBEFORE(Table1[[#This Row],[elease Date]], " " ) &amp; 1) -1)</f>
        <v>1</v>
      </c>
      <c r="F35" t="str">
        <f>_xlfn.TEXTAFTER(Table1[[#This Row],[elease Date]], ", ")</f>
        <v>2023</v>
      </c>
      <c r="G35" s="1" t="str">
        <f>IF(LEN(Table1[[#This Row],[Year_]]) = 4,Table1[[#This Row],[Year_]], _xlfn.TEXTBEFORE(Table1[[#This Row],[Year_]], " "))</f>
        <v>2023</v>
      </c>
    </row>
    <row r="36" spans="1:7" x14ac:dyDescent="0.25">
      <c r="A36" t="s">
        <v>95</v>
      </c>
      <c r="B36" t="s">
        <v>96</v>
      </c>
      <c r="C36" t="s">
        <v>98</v>
      </c>
      <c r="D36">
        <f>LEFT(Table1[[#This Row],[Actual]],LEN(Table1[[#This Row],[Actual]])-1)*1000000000</f>
        <v>5430000000</v>
      </c>
      <c r="E36">
        <f>MONTH(DATEVALUE(_xlfn.TEXTBEFORE(Table1[[#This Row],[elease Date]], " " ) &amp; 1) -1)</f>
        <v>12</v>
      </c>
      <c r="F36" t="str">
        <f>_xlfn.TEXTAFTER(Table1[[#This Row],[elease Date]], ", ")</f>
        <v>2023 (Dec)</v>
      </c>
      <c r="G36" s="1" t="str">
        <f>IF(LEN(Table1[[#This Row],[Year_]]) = 4,Table1[[#This Row],[Year_]], _xlfn.TEXTBEFORE(Table1[[#This Row],[Year_]], " "))</f>
        <v>2023</v>
      </c>
    </row>
    <row r="37" spans="1:7" x14ac:dyDescent="0.25">
      <c r="A37" t="s">
        <v>99</v>
      </c>
      <c r="B37" t="s">
        <v>100</v>
      </c>
      <c r="C37" t="s">
        <v>101</v>
      </c>
      <c r="D37">
        <f>LEFT(Table1[[#This Row],[Actual]],LEN(Table1[[#This Row],[Actual]])-1)*1000000000</f>
        <v>7980000000</v>
      </c>
      <c r="E37">
        <f>MONTH(DATEVALUE(_xlfn.TEXTBEFORE(Table1[[#This Row],[elease Date]], " " ) &amp; 1) -1)</f>
        <v>11</v>
      </c>
      <c r="F37" t="str">
        <f>_xlfn.TEXTAFTER(Table1[[#This Row],[elease Date]], ", ")</f>
        <v>2022 (Nov)</v>
      </c>
      <c r="G37" s="1" t="str">
        <f>IF(LEN(Table1[[#This Row],[Year_]]) = 4,Table1[[#This Row],[Year_]], _xlfn.TEXTBEFORE(Table1[[#This Row],[Year_]], " "))</f>
        <v>2022</v>
      </c>
    </row>
    <row r="38" spans="1:7" x14ac:dyDescent="0.25">
      <c r="A38" t="s">
        <v>102</v>
      </c>
      <c r="B38" t="s">
        <v>103</v>
      </c>
      <c r="C38" t="s">
        <v>104</v>
      </c>
      <c r="D38">
        <f>LEFT(Table1[[#This Row],[Actual]],LEN(Table1[[#This Row],[Actual]])-1)*1000000000</f>
        <v>-4310000000</v>
      </c>
      <c r="E38">
        <f>MONTH(DATEVALUE(_xlfn.TEXTBEFORE(Table1[[#This Row],[elease Date]], " " ) &amp; 1) -1)</f>
        <v>10</v>
      </c>
      <c r="F38" t="str">
        <f>_xlfn.TEXTAFTER(Table1[[#This Row],[elease Date]], ", ")</f>
        <v>2022 (Oct)</v>
      </c>
      <c r="G38" s="1" t="str">
        <f>IF(LEN(Table1[[#This Row],[Year_]]) = 4,Table1[[#This Row],[Year_]], _xlfn.TEXTBEFORE(Table1[[#This Row],[Year_]], " "))</f>
        <v>2022</v>
      </c>
    </row>
    <row r="39" spans="1:7" x14ac:dyDescent="0.25">
      <c r="A39" t="s">
        <v>105</v>
      </c>
      <c r="B39" t="s">
        <v>104</v>
      </c>
      <c r="C39" t="s">
        <v>106</v>
      </c>
      <c r="D39">
        <f>LEFT(Table1[[#This Row],[Actual]],LEN(Table1[[#This Row],[Actual]])-1)*1000000000</f>
        <v>19700000000</v>
      </c>
      <c r="E39">
        <f>MONTH(DATEVALUE(_xlfn.TEXTBEFORE(Table1[[#This Row],[elease Date]], " " ) &amp; 1) -1)</f>
        <v>9</v>
      </c>
      <c r="F39" t="str">
        <f>_xlfn.TEXTAFTER(Table1[[#This Row],[elease Date]], ", ")</f>
        <v>2022 (Sep)</v>
      </c>
      <c r="G39" s="1" t="str">
        <f>IF(LEN(Table1[[#This Row],[Year_]]) = 4,Table1[[#This Row],[Year_]], _xlfn.TEXTBEFORE(Table1[[#This Row],[Year_]], " "))</f>
        <v>2022</v>
      </c>
    </row>
    <row r="40" spans="1:7" x14ac:dyDescent="0.25">
      <c r="A40" t="s">
        <v>107</v>
      </c>
      <c r="B40" t="s">
        <v>106</v>
      </c>
      <c r="C40" t="s">
        <v>108</v>
      </c>
      <c r="D40">
        <f>LEFT(Table1[[#This Row],[Actual]],LEN(Table1[[#This Row],[Actual]])-1)*1000000000</f>
        <v>7180000000</v>
      </c>
      <c r="E40">
        <f>MONTH(DATEVALUE(_xlfn.TEXTBEFORE(Table1[[#This Row],[elease Date]], " " ) &amp; 1) -1)</f>
        <v>8</v>
      </c>
      <c r="F40" t="str">
        <f>_xlfn.TEXTAFTER(Table1[[#This Row],[elease Date]], ", ")</f>
        <v>2022 (Aug)</v>
      </c>
      <c r="G40" s="1" t="str">
        <f>IF(LEN(Table1[[#This Row],[Year_]]) = 4,Table1[[#This Row],[Year_]], _xlfn.TEXTBEFORE(Table1[[#This Row],[Year_]], " "))</f>
        <v>2022</v>
      </c>
    </row>
    <row r="41" spans="1:7" x14ac:dyDescent="0.25">
      <c r="A41" t="s">
        <v>109</v>
      </c>
      <c r="B41" t="s">
        <v>110</v>
      </c>
      <c r="C41" t="s">
        <v>49</v>
      </c>
      <c r="D41">
        <f>LEFT(Table1[[#This Row],[Actual]],LEN(Table1[[#This Row],[Actual]])-1)*1000000000</f>
        <v>24760000000</v>
      </c>
      <c r="E41">
        <f>MONTH(DATEVALUE(_xlfn.TEXTBEFORE(Table1[[#This Row],[elease Date]], " " ) &amp; 1) -1)</f>
        <v>7</v>
      </c>
      <c r="F41" t="str">
        <f>_xlfn.TEXTAFTER(Table1[[#This Row],[elease Date]], ", ")</f>
        <v>2022 (Jul)</v>
      </c>
      <c r="G41" s="1" t="str">
        <f>IF(LEN(Table1[[#This Row],[Year_]]) = 4,Table1[[#This Row],[Year_]], _xlfn.TEXTBEFORE(Table1[[#This Row],[Year_]], " "))</f>
        <v>2022</v>
      </c>
    </row>
    <row r="42" spans="1:7" x14ac:dyDescent="0.25">
      <c r="A42" t="s">
        <v>111</v>
      </c>
      <c r="B42" t="s">
        <v>49</v>
      </c>
      <c r="C42" t="s">
        <v>112</v>
      </c>
      <c r="D42">
        <f>LEFT(Table1[[#This Row],[Actual]],LEN(Table1[[#This Row],[Actual]])-1)*1000000000</f>
        <v>24230000000</v>
      </c>
      <c r="E42">
        <f>MONTH(DATEVALUE(_xlfn.TEXTBEFORE(Table1[[#This Row],[elease Date]], " " ) &amp; 1) -1)</f>
        <v>6</v>
      </c>
      <c r="F42" t="str">
        <f>_xlfn.TEXTAFTER(Table1[[#This Row],[elease Date]], ", ")</f>
        <v>2022 (Jun)</v>
      </c>
      <c r="G42" s="1" t="str">
        <f>IF(LEN(Table1[[#This Row],[Year_]]) = 4,Table1[[#This Row],[Year_]], _xlfn.TEXTBEFORE(Table1[[#This Row],[Year_]], " "))</f>
        <v>2022</v>
      </c>
    </row>
    <row r="43" spans="1:7" x14ac:dyDescent="0.25">
      <c r="A43" t="s">
        <v>113</v>
      </c>
      <c r="B43" t="s">
        <v>114</v>
      </c>
      <c r="C43" t="s">
        <v>115</v>
      </c>
      <c r="D43">
        <f>LEFT(Table1[[#This Row],[Actual]],LEN(Table1[[#This Row],[Actual]])-1)*1000000000</f>
        <v>28350000000</v>
      </c>
      <c r="E43">
        <f>MONTH(DATEVALUE(_xlfn.TEXTBEFORE(Table1[[#This Row],[elease Date]], " " ) &amp; 1) -1)</f>
        <v>5</v>
      </c>
      <c r="F43" t="str">
        <f>_xlfn.TEXTAFTER(Table1[[#This Row],[elease Date]], ", ")</f>
        <v>2022 (May)</v>
      </c>
      <c r="G43" s="1" t="str">
        <f>IF(LEN(Table1[[#This Row],[Year_]]) = 4,Table1[[#This Row],[Year_]], _xlfn.TEXTBEFORE(Table1[[#This Row],[Year_]], " "))</f>
        <v>2022</v>
      </c>
    </row>
    <row r="44" spans="1:7" x14ac:dyDescent="0.25">
      <c r="A44" t="s">
        <v>116</v>
      </c>
      <c r="B44" t="s">
        <v>117</v>
      </c>
      <c r="C44" t="s">
        <v>118</v>
      </c>
      <c r="D44">
        <f>LEFT(Table1[[#This Row],[Actual]],LEN(Table1[[#This Row],[Actual]])-1)*1000000000</f>
        <v>15490000000</v>
      </c>
      <c r="E44">
        <f>MONTH(DATEVALUE(_xlfn.TEXTBEFORE(Table1[[#This Row],[elease Date]], " " ) &amp; 1) -1)</f>
        <v>4</v>
      </c>
      <c r="F44" t="str">
        <f>_xlfn.TEXTAFTER(Table1[[#This Row],[elease Date]], ", ")</f>
        <v>2022 (Apr)</v>
      </c>
      <c r="G44" s="1" t="str">
        <f>IF(LEN(Table1[[#This Row],[Year_]]) = 4,Table1[[#This Row],[Year_]], _xlfn.TEXTBEFORE(Table1[[#This Row],[Year_]], " "))</f>
        <v>2022</v>
      </c>
    </row>
    <row r="45" spans="1:7" x14ac:dyDescent="0.25">
      <c r="A45" t="s">
        <v>119</v>
      </c>
      <c r="B45" t="s">
        <v>120</v>
      </c>
      <c r="C45" t="s">
        <v>121</v>
      </c>
      <c r="D45">
        <f>LEFT(Table1[[#This Row],[Actual]],LEN(Table1[[#This Row],[Actual]])-1)*1000000000</f>
        <v>45860000000</v>
      </c>
      <c r="E45">
        <f>MONTH(DATEVALUE(_xlfn.TEXTBEFORE(Table1[[#This Row],[elease Date]], " " ) &amp; 1) -1)</f>
        <v>3</v>
      </c>
      <c r="F45" t="str">
        <f>_xlfn.TEXTAFTER(Table1[[#This Row],[elease Date]], ", ")</f>
        <v>2022 (Mar)</v>
      </c>
      <c r="G45" s="1" t="str">
        <f>IF(LEN(Table1[[#This Row],[Year_]]) = 4,Table1[[#This Row],[Year_]], _xlfn.TEXTBEFORE(Table1[[#This Row],[Year_]], " "))</f>
        <v>2022</v>
      </c>
    </row>
    <row r="46" spans="1:7" x14ac:dyDescent="0.25">
      <c r="A46" t="s">
        <v>122</v>
      </c>
      <c r="B46" t="s">
        <v>123</v>
      </c>
      <c r="C46" t="s">
        <v>124</v>
      </c>
      <c r="D46">
        <f>LEFT(Table1[[#This Row],[Actual]],LEN(Table1[[#This Row],[Actual]])-1)*1000000000</f>
        <v>10600000000</v>
      </c>
      <c r="E46">
        <f>MONTH(DATEVALUE(_xlfn.TEXTBEFORE(Table1[[#This Row],[elease Date]], " " ) &amp; 1) -1)</f>
        <v>2</v>
      </c>
      <c r="F46" t="str">
        <f>_xlfn.TEXTAFTER(Table1[[#This Row],[elease Date]], ", ")</f>
        <v>2022 (Feb)</v>
      </c>
      <c r="G46" s="1" t="str">
        <f>IF(LEN(Table1[[#This Row],[Year_]]) = 4,Table1[[#This Row],[Year_]], _xlfn.TEXTBEFORE(Table1[[#This Row],[Year_]], " "))</f>
        <v>2022</v>
      </c>
    </row>
    <row r="47" spans="1:7" x14ac:dyDescent="0.25">
      <c r="A47" t="s">
        <v>125</v>
      </c>
      <c r="B47" t="s">
        <v>126</v>
      </c>
      <c r="C47" t="s">
        <v>127</v>
      </c>
      <c r="D47">
        <f>LEFT(Table1[[#This Row],[Actual]],LEN(Table1[[#This Row],[Actual]])-1)*1000000000</f>
        <v>3550000000</v>
      </c>
      <c r="E47">
        <f>MONTH(DATEVALUE(_xlfn.TEXTBEFORE(Table1[[#This Row],[elease Date]], " " ) &amp; 1) -1)</f>
        <v>1</v>
      </c>
      <c r="F47" t="str">
        <f>_xlfn.TEXTAFTER(Table1[[#This Row],[elease Date]], ", ")</f>
        <v>2022 (Jan)</v>
      </c>
      <c r="G47" s="1" t="str">
        <f>IF(LEN(Table1[[#This Row],[Year_]]) = 4,Table1[[#This Row],[Year_]], _xlfn.TEXTBEFORE(Table1[[#This Row],[Year_]], " "))</f>
        <v>2022</v>
      </c>
    </row>
    <row r="48" spans="1:7" x14ac:dyDescent="0.25">
      <c r="A48" t="s">
        <v>128</v>
      </c>
      <c r="B48" t="s">
        <v>127</v>
      </c>
      <c r="C48" t="s">
        <v>129</v>
      </c>
      <c r="D48">
        <f>LEFT(Table1[[#This Row],[Actual]],LEN(Table1[[#This Row],[Actual]])-1)*1000000000</f>
        <v>30140000000</v>
      </c>
      <c r="E48">
        <f>MONTH(DATEVALUE(_xlfn.TEXTBEFORE(Table1[[#This Row],[elease Date]], " " ) &amp; 1) -1)</f>
        <v>12</v>
      </c>
      <c r="F48" t="str">
        <f>_xlfn.TEXTAFTER(Table1[[#This Row],[elease Date]], ", ")</f>
        <v>2022 (Dec)</v>
      </c>
      <c r="G48" s="1" t="str">
        <f>IF(LEN(Table1[[#This Row],[Year_]]) = 4,Table1[[#This Row],[Year_]], _xlfn.TEXTBEFORE(Table1[[#This Row],[Year_]], " "))</f>
        <v>2022</v>
      </c>
    </row>
    <row r="49" spans="1:7" x14ac:dyDescent="0.25">
      <c r="A49" t="s">
        <v>130</v>
      </c>
      <c r="B49" t="s">
        <v>129</v>
      </c>
      <c r="C49" t="s">
        <v>131</v>
      </c>
      <c r="D49">
        <f>LEFT(Table1[[#This Row],[Actual]],LEN(Table1[[#This Row],[Actual]])-1)*1000000000</f>
        <v>35830000000</v>
      </c>
      <c r="E49">
        <f>MONTH(DATEVALUE(_xlfn.TEXTBEFORE(Table1[[#This Row],[elease Date]], " " ) &amp; 1) -1)</f>
        <v>11</v>
      </c>
      <c r="F49" t="str">
        <f>_xlfn.TEXTAFTER(Table1[[#This Row],[elease Date]], ", ")</f>
        <v>2021 (Nov)</v>
      </c>
      <c r="G49" s="1" t="str">
        <f>IF(LEN(Table1[[#This Row],[Year_]]) = 4,Table1[[#This Row],[Year_]], _xlfn.TEXTBEFORE(Table1[[#This Row],[Year_]], " "))</f>
        <v>2021</v>
      </c>
    </row>
    <row r="50" spans="1:7" x14ac:dyDescent="0.25">
      <c r="A50" t="s">
        <v>132</v>
      </c>
      <c r="B50" t="s">
        <v>133</v>
      </c>
      <c r="C50" t="s">
        <v>134</v>
      </c>
      <c r="D50">
        <f>LEFT(Table1[[#This Row],[Actual]],LEN(Table1[[#This Row],[Actual]])-1)*1000000000</f>
        <v>19780000000</v>
      </c>
      <c r="E50">
        <f>MONTH(DATEVALUE(_xlfn.TEXTBEFORE(Table1[[#This Row],[elease Date]], " " ) &amp; 1) -1)</f>
        <v>10</v>
      </c>
      <c r="F50" t="str">
        <f>_xlfn.TEXTAFTER(Table1[[#This Row],[elease Date]], ", ")</f>
        <v>2021 (Oct)</v>
      </c>
      <c r="G50" s="1" t="str">
        <f>IF(LEN(Table1[[#This Row],[Year_]]) = 4,Table1[[#This Row],[Year_]], _xlfn.TEXTBEFORE(Table1[[#This Row],[Year_]], " "))</f>
        <v>2021</v>
      </c>
    </row>
    <row r="51" spans="1:7" x14ac:dyDescent="0.25">
      <c r="A51" t="s">
        <v>135</v>
      </c>
      <c r="B51" t="s">
        <v>136</v>
      </c>
      <c r="C51" t="s">
        <v>137</v>
      </c>
      <c r="D51">
        <f>LEFT(Table1[[#This Row],[Actual]],LEN(Table1[[#This Row],[Actual]])-1)*1000000000</f>
        <v>22240000000</v>
      </c>
      <c r="E51">
        <f>MONTH(DATEVALUE(_xlfn.TEXTBEFORE(Table1[[#This Row],[elease Date]], " " ) &amp; 1) -1)</f>
        <v>9</v>
      </c>
      <c r="F51" t="str">
        <f>_xlfn.TEXTAFTER(Table1[[#This Row],[elease Date]], ", ")</f>
        <v>2021 (Sep)</v>
      </c>
      <c r="G51" s="1" t="str">
        <f>IF(LEN(Table1[[#This Row],[Year_]]) = 4,Table1[[#This Row],[Year_]], _xlfn.TEXTBEFORE(Table1[[#This Row],[Year_]], " "))</f>
        <v>2021</v>
      </c>
    </row>
    <row r="52" spans="1:7" x14ac:dyDescent="0.25">
      <c r="A52" t="s">
        <v>138</v>
      </c>
      <c r="B52" t="s">
        <v>137</v>
      </c>
      <c r="C52" t="s">
        <v>139</v>
      </c>
      <c r="D52">
        <f>LEFT(Table1[[#This Row],[Actual]],LEN(Table1[[#This Row],[Actual]])-1)*1000000000</f>
        <v>42400000000</v>
      </c>
      <c r="E52">
        <f>MONTH(DATEVALUE(_xlfn.TEXTBEFORE(Table1[[#This Row],[elease Date]], " " ) &amp; 1) -1)</f>
        <v>8</v>
      </c>
      <c r="F52" t="str">
        <f>_xlfn.TEXTAFTER(Table1[[#This Row],[elease Date]], ", ")</f>
        <v>2021 (Aug)</v>
      </c>
      <c r="G52" s="1" t="str">
        <f>IF(LEN(Table1[[#This Row],[Year_]]) = 4,Table1[[#This Row],[Year_]], _xlfn.TEXTBEFORE(Table1[[#This Row],[Year_]], " "))</f>
        <v>2021</v>
      </c>
    </row>
    <row r="53" spans="1:7" x14ac:dyDescent="0.25">
      <c r="A53" t="s">
        <v>140</v>
      </c>
      <c r="B53" t="s">
        <v>139</v>
      </c>
      <c r="C53" t="s">
        <v>141</v>
      </c>
      <c r="D53">
        <f>LEFT(Table1[[#This Row],[Actual]],LEN(Table1[[#This Row],[Actual]])-1)*1000000000</f>
        <v>36960000000</v>
      </c>
      <c r="E53">
        <f>MONTH(DATEVALUE(_xlfn.TEXTBEFORE(Table1[[#This Row],[elease Date]], " " ) &amp; 1) -1)</f>
        <v>7</v>
      </c>
      <c r="F53" t="str">
        <f>_xlfn.TEXTAFTER(Table1[[#This Row],[elease Date]], ", ")</f>
        <v>2021 (Jul)</v>
      </c>
      <c r="G53" s="1" t="str">
        <f>IF(LEN(Table1[[#This Row],[Year_]]) = 4,Table1[[#This Row],[Year_]], _xlfn.TEXTBEFORE(Table1[[#This Row],[Year_]], " "))</f>
        <v>2021</v>
      </c>
    </row>
    <row r="54" spans="1:7" x14ac:dyDescent="0.25">
      <c r="A54" t="s">
        <v>142</v>
      </c>
      <c r="B54" t="s">
        <v>143</v>
      </c>
      <c r="C54" t="s">
        <v>144</v>
      </c>
      <c r="D54">
        <f>LEFT(Table1[[#This Row],[Actual]],LEN(Table1[[#This Row],[Actual]])-1)*1000000000</f>
        <v>57680000000</v>
      </c>
      <c r="E54">
        <f>MONTH(DATEVALUE(_xlfn.TEXTBEFORE(Table1[[#This Row],[elease Date]], " " ) &amp; 1) -1)</f>
        <v>6</v>
      </c>
      <c r="F54" t="str">
        <f>_xlfn.TEXTAFTER(Table1[[#This Row],[elease Date]], ", ")</f>
        <v>2021 (Jun)</v>
      </c>
      <c r="G54" s="1" t="str">
        <f>IF(LEN(Table1[[#This Row],[Year_]]) = 4,Table1[[#This Row],[Year_]], _xlfn.TEXTBEFORE(Table1[[#This Row],[Year_]], " "))</f>
        <v>2021</v>
      </c>
    </row>
    <row r="55" spans="1:7" x14ac:dyDescent="0.25">
      <c r="A55" t="s">
        <v>145</v>
      </c>
      <c r="B55" t="s">
        <v>146</v>
      </c>
      <c r="C55" t="s">
        <v>147</v>
      </c>
      <c r="D55">
        <f>LEFT(Table1[[#This Row],[Actual]],LEN(Table1[[#This Row],[Actual]])-1)*1000000000</f>
        <v>54600000000</v>
      </c>
      <c r="E55">
        <f>MONTH(DATEVALUE(_xlfn.TEXTBEFORE(Table1[[#This Row],[elease Date]], " " ) &amp; 1) -1)</f>
        <v>5</v>
      </c>
      <c r="F55" t="str">
        <f>_xlfn.TEXTAFTER(Table1[[#This Row],[elease Date]], ", ")</f>
        <v>2021 (May)</v>
      </c>
      <c r="G55" s="1" t="str">
        <f>IF(LEN(Table1[[#This Row],[Year_]]) = 4,Table1[[#This Row],[Year_]], _xlfn.TEXTBEFORE(Table1[[#This Row],[Year_]], " "))</f>
        <v>2021</v>
      </c>
    </row>
    <row r="56" spans="1:7" x14ac:dyDescent="0.25">
      <c r="A56" t="s">
        <v>148</v>
      </c>
      <c r="B56" t="s">
        <v>149</v>
      </c>
      <c r="C56" t="s">
        <v>150</v>
      </c>
      <c r="D56">
        <f>LEFT(Table1[[#This Row],[Actual]],LEN(Table1[[#This Row],[Actual]])-1)*1000000000</f>
        <v>51240000000</v>
      </c>
      <c r="E56">
        <f>MONTH(DATEVALUE(_xlfn.TEXTBEFORE(Table1[[#This Row],[elease Date]], " " ) &amp; 1) -1)</f>
        <v>4</v>
      </c>
      <c r="F56" t="str">
        <f>_xlfn.TEXTAFTER(Table1[[#This Row],[elease Date]], ", ")</f>
        <v>2021 (Apr)</v>
      </c>
      <c r="G56" s="1" t="str">
        <f>IF(LEN(Table1[[#This Row],[Year_]]) = 4,Table1[[#This Row],[Year_]], _xlfn.TEXTBEFORE(Table1[[#This Row],[Year_]], " "))</f>
        <v>2021</v>
      </c>
    </row>
    <row r="57" spans="1:7" x14ac:dyDescent="0.25">
      <c r="A57" t="s">
        <v>151</v>
      </c>
      <c r="B57" t="s">
        <v>152</v>
      </c>
      <c r="C57" t="s">
        <v>153</v>
      </c>
      <c r="D57">
        <f>LEFT(Table1[[#This Row],[Actual]],LEN(Table1[[#This Row],[Actual]])-1)*1000000000</f>
        <v>52770000000</v>
      </c>
      <c r="E57">
        <f>MONTH(DATEVALUE(_xlfn.TEXTBEFORE(Table1[[#This Row],[elease Date]], " " ) &amp; 1) -1)</f>
        <v>3</v>
      </c>
      <c r="F57" t="str">
        <f>_xlfn.TEXTAFTER(Table1[[#This Row],[elease Date]], ", ")</f>
        <v>2021 (Mar)</v>
      </c>
      <c r="G57" s="1" t="str">
        <f>IF(LEN(Table1[[#This Row],[Year_]]) = 4,Table1[[#This Row],[Year_]], _xlfn.TEXTBEFORE(Table1[[#This Row],[Year_]], " "))</f>
        <v>2021</v>
      </c>
    </row>
    <row r="58" spans="1:7" x14ac:dyDescent="0.25">
      <c r="A58" t="s">
        <v>154</v>
      </c>
      <c r="B58" t="s">
        <v>155</v>
      </c>
      <c r="C58" t="s">
        <v>156</v>
      </c>
      <c r="D58">
        <f>LEFT(Table1[[#This Row],[Actual]],LEN(Table1[[#This Row],[Actual]])-1)*1000000000</f>
        <v>28960000000</v>
      </c>
      <c r="E58">
        <f>MONTH(DATEVALUE(_xlfn.TEXTBEFORE(Table1[[#This Row],[elease Date]], " " ) &amp; 1) -1)</f>
        <v>2</v>
      </c>
      <c r="F58" t="str">
        <f>_xlfn.TEXTAFTER(Table1[[#This Row],[elease Date]], ", ")</f>
        <v>2021 (Feb)</v>
      </c>
      <c r="G58" s="1" t="str">
        <f>IF(LEN(Table1[[#This Row],[Year_]]) = 4,Table1[[#This Row],[Year_]], _xlfn.TEXTBEFORE(Table1[[#This Row],[Year_]], " "))</f>
        <v>2021</v>
      </c>
    </row>
    <row r="59" spans="1:7" x14ac:dyDescent="0.25">
      <c r="A59" t="s">
        <v>157</v>
      </c>
      <c r="B59" t="s">
        <v>158</v>
      </c>
      <c r="C59" t="s">
        <v>159</v>
      </c>
      <c r="D59">
        <f>LEFT(Table1[[#This Row],[Actual]],LEN(Table1[[#This Row],[Actual]])-1)*1000000000</f>
        <v>11830000000</v>
      </c>
      <c r="E59">
        <f>MONTH(DATEVALUE(_xlfn.TEXTBEFORE(Table1[[#This Row],[elease Date]], " " ) &amp; 1) -1)</f>
        <v>1</v>
      </c>
      <c r="F59" t="str">
        <f>_xlfn.TEXTAFTER(Table1[[#This Row],[elease Date]], ", ")</f>
        <v>2021 (Jan)</v>
      </c>
      <c r="G59" s="1" t="str">
        <f>IF(LEN(Table1[[#This Row],[Year_]]) = 4,Table1[[#This Row],[Year_]], _xlfn.TEXTBEFORE(Table1[[#This Row],[Year_]], " "))</f>
        <v>2021</v>
      </c>
    </row>
    <row r="60" spans="1:7" x14ac:dyDescent="0.25">
      <c r="A60" t="s">
        <v>160</v>
      </c>
      <c r="B60" t="s">
        <v>161</v>
      </c>
      <c r="C60" t="s">
        <v>162</v>
      </c>
      <c r="D60">
        <f>LEFT(Table1[[#This Row],[Actual]],LEN(Table1[[#This Row],[Actual]])-1)*1000000000</f>
        <v>32000000000</v>
      </c>
      <c r="E60">
        <f>MONTH(DATEVALUE(_xlfn.TEXTBEFORE(Table1[[#This Row],[elease Date]], " " ) &amp; 1) -1)</f>
        <v>12</v>
      </c>
      <c r="F60" t="str">
        <f>_xlfn.TEXTAFTER(Table1[[#This Row],[elease Date]], ", ")</f>
        <v>2021 (Dec)</v>
      </c>
      <c r="G60" s="1" t="str">
        <f>IF(LEN(Table1[[#This Row],[Year_]]) = 4,Table1[[#This Row],[Year_]], _xlfn.TEXTBEFORE(Table1[[#This Row],[Year_]], " "))</f>
        <v>2021</v>
      </c>
    </row>
    <row r="61" spans="1:7" x14ac:dyDescent="0.25">
      <c r="A61" t="s">
        <v>163</v>
      </c>
      <c r="B61" t="s">
        <v>164</v>
      </c>
      <c r="C61" t="s">
        <v>165</v>
      </c>
      <c r="D61">
        <f>LEFT(Table1[[#This Row],[Actual]],LEN(Table1[[#This Row],[Actual]])-1)*1000000000</f>
        <v>36720000000</v>
      </c>
      <c r="E61">
        <f>MONTH(DATEVALUE(_xlfn.TEXTBEFORE(Table1[[#This Row],[elease Date]], " " ) &amp; 1) -1)</f>
        <v>11</v>
      </c>
      <c r="F61" t="str">
        <f>_xlfn.TEXTAFTER(Table1[[#This Row],[elease Date]], ", ")</f>
        <v>2020 (Nov)</v>
      </c>
      <c r="G61" s="1" t="str">
        <f>IF(LEN(Table1[[#This Row],[Year_]]) = 4,Table1[[#This Row],[Year_]], _xlfn.TEXTBEFORE(Table1[[#This Row],[Year_]], " "))</f>
        <v>2020</v>
      </c>
    </row>
    <row r="62" spans="1:7" x14ac:dyDescent="0.25">
      <c r="A62" t="s">
        <v>166</v>
      </c>
      <c r="B62" t="s">
        <v>167</v>
      </c>
      <c r="C62" t="s">
        <v>168</v>
      </c>
      <c r="D62">
        <f>LEFT(Table1[[#This Row],[Actual]],LEN(Table1[[#This Row],[Actual]])-1)*1000000000</f>
        <v>36130000000</v>
      </c>
      <c r="E62">
        <f>MONTH(DATEVALUE(_xlfn.TEXTBEFORE(Table1[[#This Row],[elease Date]], " " ) &amp; 1) -1)</f>
        <v>10</v>
      </c>
      <c r="F62" t="str">
        <f>_xlfn.TEXTAFTER(Table1[[#This Row],[elease Date]], ", ")</f>
        <v>2020 (Oct)</v>
      </c>
      <c r="G62" s="1" t="str">
        <f>IF(LEN(Table1[[#This Row],[Year_]]) = 4,Table1[[#This Row],[Year_]], _xlfn.TEXTBEFORE(Table1[[#This Row],[Year_]], " "))</f>
        <v>2020</v>
      </c>
    </row>
    <row r="63" spans="1:7" x14ac:dyDescent="0.25">
      <c r="A63" t="s">
        <v>169</v>
      </c>
      <c r="B63" t="s">
        <v>170</v>
      </c>
      <c r="C63" t="s">
        <v>171</v>
      </c>
      <c r="D63">
        <f>LEFT(Table1[[#This Row],[Actual]],LEN(Table1[[#This Row],[Actual]])-1)*1000000000</f>
        <v>33509999999.999996</v>
      </c>
      <c r="E63">
        <f>MONTH(DATEVALUE(_xlfn.TEXTBEFORE(Table1[[#This Row],[elease Date]], " " ) &amp; 1) -1)</f>
        <v>9</v>
      </c>
      <c r="F63" t="str">
        <f>_xlfn.TEXTAFTER(Table1[[#This Row],[elease Date]], ", ")</f>
        <v>2020 (Sep)</v>
      </c>
      <c r="G63" s="1" t="str">
        <f>IF(LEN(Table1[[#This Row],[Year_]]) = 4,Table1[[#This Row],[Year_]], _xlfn.TEXTBEFORE(Table1[[#This Row],[Year_]], " "))</f>
        <v>2020</v>
      </c>
    </row>
    <row r="64" spans="1:7" x14ac:dyDescent="0.25">
      <c r="A64" t="s">
        <v>172</v>
      </c>
      <c r="B64" t="s">
        <v>173</v>
      </c>
      <c r="C64" t="s">
        <v>174</v>
      </c>
      <c r="D64">
        <f>LEFT(Table1[[#This Row],[Actual]],LEN(Table1[[#This Row],[Actual]])-1)*1000000000</f>
        <v>38870000000</v>
      </c>
      <c r="E64">
        <f>MONTH(DATEVALUE(_xlfn.TEXTBEFORE(Table1[[#This Row],[elease Date]], " " ) &amp; 1) -1)</f>
        <v>8</v>
      </c>
      <c r="F64" t="str">
        <f>_xlfn.TEXTAFTER(Table1[[#This Row],[elease Date]], ", ")</f>
        <v>2020 (Aug)</v>
      </c>
      <c r="G64" s="1" t="str">
        <f>IF(LEN(Table1[[#This Row],[Year_]]) = 4,Table1[[#This Row],[Year_]], _xlfn.TEXTBEFORE(Table1[[#This Row],[Year_]], " "))</f>
        <v>2020</v>
      </c>
    </row>
    <row r="65" spans="1:7" x14ac:dyDescent="0.25">
      <c r="A65" t="s">
        <v>175</v>
      </c>
      <c r="B65" t="s">
        <v>176</v>
      </c>
      <c r="C65" t="s">
        <v>177</v>
      </c>
      <c r="D65">
        <f>LEFT(Table1[[#This Row],[Actual]],LEN(Table1[[#This Row],[Actual]])-1)*1000000000</f>
        <v>37420000000</v>
      </c>
      <c r="E65">
        <f>MONTH(DATEVALUE(_xlfn.TEXTBEFORE(Table1[[#This Row],[elease Date]], " " ) &amp; 1) -1)</f>
        <v>7</v>
      </c>
      <c r="F65" t="str">
        <f>_xlfn.TEXTAFTER(Table1[[#This Row],[elease Date]], ", ")</f>
        <v>2020 (Jul)</v>
      </c>
      <c r="G65" s="1" t="str">
        <f>IF(LEN(Table1[[#This Row],[Year_]]) = 4,Table1[[#This Row],[Year_]], _xlfn.TEXTBEFORE(Table1[[#This Row],[Year_]], " "))</f>
        <v>2020</v>
      </c>
    </row>
    <row r="66" spans="1:7" x14ac:dyDescent="0.25">
      <c r="A66" t="s">
        <v>178</v>
      </c>
      <c r="B66" t="s">
        <v>179</v>
      </c>
      <c r="C66" t="s">
        <v>180</v>
      </c>
      <c r="D66">
        <f>LEFT(Table1[[#This Row],[Actual]],LEN(Table1[[#This Row],[Actual]])-1)*1000000000</f>
        <v>46630000000</v>
      </c>
      <c r="E66">
        <f>MONTH(DATEVALUE(_xlfn.TEXTBEFORE(Table1[[#This Row],[elease Date]], " " ) &amp; 1) -1)</f>
        <v>6</v>
      </c>
      <c r="F66" t="str">
        <f>_xlfn.TEXTAFTER(Table1[[#This Row],[elease Date]], ", ")</f>
        <v>2020 (Jun)</v>
      </c>
      <c r="G66" s="1" t="str">
        <f>IF(LEN(Table1[[#This Row],[Year_]]) = 4,Table1[[#This Row],[Year_]], _xlfn.TEXTBEFORE(Table1[[#This Row],[Year_]], " "))</f>
        <v>2020</v>
      </c>
    </row>
    <row r="67" spans="1:7" x14ac:dyDescent="0.25">
      <c r="A67" t="s">
        <v>181</v>
      </c>
      <c r="B67" t="s">
        <v>182</v>
      </c>
      <c r="C67" t="s">
        <v>183</v>
      </c>
      <c r="D67">
        <f>LEFT(Table1[[#This Row],[Actual]],LEN(Table1[[#This Row],[Actual]])-1)*1000000000</f>
        <v>15940000000</v>
      </c>
      <c r="E67">
        <f>MONTH(DATEVALUE(_xlfn.TEXTBEFORE(Table1[[#This Row],[elease Date]], " " ) &amp; 1) -1)</f>
        <v>5</v>
      </c>
      <c r="F67" t="str">
        <f>_xlfn.TEXTAFTER(Table1[[#This Row],[elease Date]], ", ")</f>
        <v>2020 (May)</v>
      </c>
      <c r="G67" s="1" t="str">
        <f>IF(LEN(Table1[[#This Row],[Year_]]) = 4,Table1[[#This Row],[Year_]], _xlfn.TEXTBEFORE(Table1[[#This Row],[Year_]], " "))</f>
        <v>2020</v>
      </c>
    </row>
    <row r="68" spans="1:7" x14ac:dyDescent="0.25">
      <c r="A68" t="s">
        <v>184</v>
      </c>
      <c r="B68" t="s">
        <v>185</v>
      </c>
      <c r="C68" t="s">
        <v>186</v>
      </c>
      <c r="D68">
        <f>LEFT(Table1[[#This Row],[Actual]],LEN(Table1[[#This Row],[Actual]])-1)*1000000000</f>
        <v>-35020000000</v>
      </c>
      <c r="E68">
        <f>MONTH(DATEVALUE(_xlfn.TEXTBEFORE(Table1[[#This Row],[elease Date]], " " ) &amp; 1) -1)</f>
        <v>4</v>
      </c>
      <c r="F68" t="str">
        <f>_xlfn.TEXTAFTER(Table1[[#This Row],[elease Date]], ", ")</f>
        <v>2020 (Apr)</v>
      </c>
      <c r="G68" s="1" t="str">
        <f>IF(LEN(Table1[[#This Row],[Year_]]) = 4,Table1[[#This Row],[Year_]], _xlfn.TEXTBEFORE(Table1[[#This Row],[Year_]], " "))</f>
        <v>2020</v>
      </c>
    </row>
    <row r="69" spans="1:7" x14ac:dyDescent="0.25">
      <c r="A69" t="s">
        <v>187</v>
      </c>
      <c r="B69" t="s">
        <v>188</v>
      </c>
      <c r="C69" t="s">
        <v>189</v>
      </c>
      <c r="D69">
        <f>LEFT(Table1[[#This Row],[Actual]],LEN(Table1[[#This Row],[Actual]])-1)*1000000000</f>
        <v>24250000000</v>
      </c>
      <c r="E69">
        <f>MONTH(DATEVALUE(_xlfn.TEXTBEFORE(Table1[[#This Row],[elease Date]], " " ) &amp; 1) -1)</f>
        <v>3</v>
      </c>
      <c r="F69" t="str">
        <f>_xlfn.TEXTAFTER(Table1[[#This Row],[elease Date]], ", ")</f>
        <v>2020 (Mar)</v>
      </c>
      <c r="G69" s="1" t="str">
        <f>IF(LEN(Table1[[#This Row],[Year_]]) = 4,Table1[[#This Row],[Year_]], _xlfn.TEXTBEFORE(Table1[[#This Row],[Year_]], " "))</f>
        <v>2020</v>
      </c>
    </row>
    <row r="70" spans="1:7" x14ac:dyDescent="0.25">
      <c r="A70" t="s">
        <v>190</v>
      </c>
      <c r="B70" t="s">
        <v>191</v>
      </c>
      <c r="C70" t="s">
        <v>192</v>
      </c>
      <c r="D70">
        <f>LEFT(Table1[[#This Row],[Actual]],LEN(Table1[[#This Row],[Actual]])-1)*1000000000</f>
        <v>14150000000</v>
      </c>
      <c r="E70">
        <f>MONTH(DATEVALUE(_xlfn.TEXTBEFORE(Table1[[#This Row],[elease Date]], " " ) &amp; 1) -1)</f>
        <v>2</v>
      </c>
      <c r="F70" t="str">
        <f>_xlfn.TEXTAFTER(Table1[[#This Row],[elease Date]], ", ")</f>
        <v>2020 (Feb)</v>
      </c>
      <c r="G70" s="1" t="str">
        <f>IF(LEN(Table1[[#This Row],[Year_]]) = 4,Table1[[#This Row],[Year_]], _xlfn.TEXTBEFORE(Table1[[#This Row],[Year_]], " "))</f>
        <v>2020</v>
      </c>
    </row>
    <row r="71" spans="1:7" x14ac:dyDescent="0.25">
      <c r="A71" t="s">
        <v>193</v>
      </c>
      <c r="B71" t="s">
        <v>194</v>
      </c>
      <c r="C71" t="s">
        <v>196</v>
      </c>
      <c r="D71">
        <f>LEFT(Table1[[#This Row],[Actual]],LEN(Table1[[#This Row],[Actual]])-1)*1000000000</f>
        <v>-1870000000</v>
      </c>
      <c r="E71">
        <f>MONTH(DATEVALUE(_xlfn.TEXTBEFORE(Table1[[#This Row],[elease Date]], " " ) &amp; 1) -1)</f>
        <v>1</v>
      </c>
      <c r="F71" t="str">
        <f>_xlfn.TEXTAFTER(Table1[[#This Row],[elease Date]], ", ")</f>
        <v>2020 (Jan)</v>
      </c>
      <c r="G71" s="1" t="str">
        <f>IF(LEN(Table1[[#This Row],[Year_]]) = 4,Table1[[#This Row],[Year_]], _xlfn.TEXTBEFORE(Table1[[#This Row],[Year_]], " "))</f>
        <v>2020</v>
      </c>
    </row>
    <row r="72" spans="1:7" x14ac:dyDescent="0.25">
      <c r="A72" t="s">
        <v>197</v>
      </c>
      <c r="B72" t="s">
        <v>198</v>
      </c>
      <c r="C72" t="s">
        <v>199</v>
      </c>
      <c r="D72">
        <f>LEFT(Table1[[#This Row],[Actual]],LEN(Table1[[#This Row],[Actual]])-1)*1000000000</f>
        <v>14850000000</v>
      </c>
      <c r="E72">
        <f>MONTH(DATEVALUE(_xlfn.TEXTBEFORE(Table1[[#This Row],[elease Date]], " " ) &amp; 1) -1)</f>
        <v>12</v>
      </c>
      <c r="F72" t="str">
        <f>_xlfn.TEXTAFTER(Table1[[#This Row],[elease Date]], ", ")</f>
        <v>2020 (Dec)</v>
      </c>
      <c r="G72" s="1" t="str">
        <f>IF(LEN(Table1[[#This Row],[Year_]]) = 4,Table1[[#This Row],[Year_]], _xlfn.TEXTBEFORE(Table1[[#This Row],[Year_]], " "))</f>
        <v>2020</v>
      </c>
    </row>
    <row r="73" spans="1:7" x14ac:dyDescent="0.25">
      <c r="A73" t="s">
        <v>200</v>
      </c>
      <c r="B73" t="s">
        <v>199</v>
      </c>
      <c r="C73" t="s">
        <v>202</v>
      </c>
      <c r="D73">
        <f>LEFT(Table1[[#This Row],[Actual]],LEN(Table1[[#This Row],[Actual]])-1)*1000000000</f>
        <v>6100000000</v>
      </c>
      <c r="E73">
        <f>MONTH(DATEVALUE(_xlfn.TEXTBEFORE(Table1[[#This Row],[elease Date]], " " ) &amp; 1) -1)</f>
        <v>11</v>
      </c>
      <c r="F73" t="str">
        <f>_xlfn.TEXTAFTER(Table1[[#This Row],[elease Date]], ", ")</f>
        <v>2019 (Nov)</v>
      </c>
      <c r="G73" s="1" t="str">
        <f>IF(LEN(Table1[[#This Row],[Year_]]) = 4,Table1[[#This Row],[Year_]], _xlfn.TEXTBEFORE(Table1[[#This Row],[Year_]], " "))</f>
        <v>2019</v>
      </c>
    </row>
    <row r="74" spans="1:7" x14ac:dyDescent="0.25">
      <c r="A74" t="s">
        <v>203</v>
      </c>
      <c r="B74" t="s">
        <v>202</v>
      </c>
      <c r="C74" t="s">
        <v>204</v>
      </c>
      <c r="D74">
        <f>LEFT(Table1[[#This Row],[Actual]],LEN(Table1[[#This Row],[Actual]])-1)*1000000000</f>
        <v>3090000000</v>
      </c>
      <c r="E74">
        <f>MONTH(DATEVALUE(_xlfn.TEXTBEFORE(Table1[[#This Row],[elease Date]], " " ) &amp; 1) -1)</f>
        <v>10</v>
      </c>
      <c r="F74" t="str">
        <f>_xlfn.TEXTAFTER(Table1[[#This Row],[elease Date]], ", ")</f>
        <v>2019 (Oct)</v>
      </c>
      <c r="G74" s="1" t="str">
        <f>IF(LEN(Table1[[#This Row],[Year_]]) = 4,Table1[[#This Row],[Year_]], _xlfn.TEXTBEFORE(Table1[[#This Row],[Year_]], " "))</f>
        <v>2019</v>
      </c>
    </row>
    <row r="75" spans="1:7" x14ac:dyDescent="0.25">
      <c r="A75" t="s">
        <v>205</v>
      </c>
      <c r="B75" t="s">
        <v>204</v>
      </c>
      <c r="C75" t="s">
        <v>206</v>
      </c>
      <c r="D75">
        <f>LEFT(Table1[[#This Row],[Actual]],LEN(Table1[[#This Row],[Actual]])-1)*1000000000</f>
        <v>5160000000</v>
      </c>
      <c r="E75">
        <f>MONTH(DATEVALUE(_xlfn.TEXTBEFORE(Table1[[#This Row],[elease Date]], " " ) &amp; 1) -1)</f>
        <v>9</v>
      </c>
      <c r="F75" t="str">
        <f>_xlfn.TEXTAFTER(Table1[[#This Row],[elease Date]], ", ")</f>
        <v>2019 (Sep)</v>
      </c>
      <c r="G75" s="1" t="str">
        <f>IF(LEN(Table1[[#This Row],[Year_]]) = 4,Table1[[#This Row],[Year_]], _xlfn.TEXTBEFORE(Table1[[#This Row],[Year_]], " "))</f>
        <v>2019</v>
      </c>
    </row>
    <row r="76" spans="1:7" x14ac:dyDescent="0.25">
      <c r="A76" t="s">
        <v>207</v>
      </c>
      <c r="B76" t="s">
        <v>208</v>
      </c>
      <c r="C76" t="s">
        <v>209</v>
      </c>
      <c r="D76">
        <f>LEFT(Table1[[#This Row],[Actual]],LEN(Table1[[#This Row],[Actual]])-1)*1000000000</f>
        <v>6840000000</v>
      </c>
      <c r="E76">
        <f>MONTH(DATEVALUE(_xlfn.TEXTBEFORE(Table1[[#This Row],[elease Date]], " " ) &amp; 1) -1)</f>
        <v>8</v>
      </c>
      <c r="F76" t="str">
        <f>_xlfn.TEXTAFTER(Table1[[#This Row],[elease Date]], ", ")</f>
        <v>2019 (Aug)</v>
      </c>
      <c r="G76" s="1" t="str">
        <f>IF(LEN(Table1[[#This Row],[Year_]]) = 4,Table1[[#This Row],[Year_]], _xlfn.TEXTBEFORE(Table1[[#This Row],[Year_]], " "))</f>
        <v>2019</v>
      </c>
    </row>
    <row r="77" spans="1:7" x14ac:dyDescent="0.25">
      <c r="A77" t="s">
        <v>210</v>
      </c>
      <c r="B77" t="s">
        <v>211</v>
      </c>
      <c r="C77" t="s">
        <v>212</v>
      </c>
      <c r="D77">
        <f>LEFT(Table1[[#This Row],[Actual]],LEN(Table1[[#This Row],[Actual]])-1)*1000000000</f>
        <v>-2880000000</v>
      </c>
      <c r="E77">
        <f>MONTH(DATEVALUE(_xlfn.TEXTBEFORE(Table1[[#This Row],[elease Date]], " " ) &amp; 1) -1)</f>
        <v>7</v>
      </c>
      <c r="F77" t="str">
        <f>_xlfn.TEXTAFTER(Table1[[#This Row],[elease Date]], ", ")</f>
        <v>2019 (Jul)</v>
      </c>
      <c r="G77" s="1" t="str">
        <f>IF(LEN(Table1[[#This Row],[Year_]]) = 4,Table1[[#This Row],[Year_]], _xlfn.TEXTBEFORE(Table1[[#This Row],[Year_]], " "))</f>
        <v>2019</v>
      </c>
    </row>
    <row r="78" spans="1:7" x14ac:dyDescent="0.25">
      <c r="A78" t="s">
        <v>213</v>
      </c>
      <c r="B78" t="s">
        <v>214</v>
      </c>
      <c r="C78" t="s">
        <v>215</v>
      </c>
      <c r="D78">
        <f>LEFT(Table1[[#This Row],[Actual]],LEN(Table1[[#This Row],[Actual]])-1)*1000000000</f>
        <v>4420000000</v>
      </c>
      <c r="E78">
        <f>MONTH(DATEVALUE(_xlfn.TEXTBEFORE(Table1[[#This Row],[elease Date]], " " ) &amp; 1) -1)</f>
        <v>6</v>
      </c>
      <c r="F78" t="str">
        <f>_xlfn.TEXTAFTER(Table1[[#This Row],[elease Date]], ", ")</f>
        <v>2019 (Jun)</v>
      </c>
      <c r="G78" s="1" t="str">
        <f>IF(LEN(Table1[[#This Row],[Year_]]) = 4,Table1[[#This Row],[Year_]], _xlfn.TEXTBEFORE(Table1[[#This Row],[Year_]], " "))</f>
        <v>2019</v>
      </c>
    </row>
    <row r="79" spans="1:7" x14ac:dyDescent="0.25">
      <c r="A79" t="s">
        <v>216</v>
      </c>
      <c r="B79" t="s">
        <v>217</v>
      </c>
      <c r="C79" t="s">
        <v>218</v>
      </c>
      <c r="D79">
        <f>LEFT(Table1[[#This Row],[Actual]],LEN(Table1[[#This Row],[Actual]])-1)*1000000000</f>
        <v>1740000000</v>
      </c>
      <c r="E79">
        <f>MONTH(DATEVALUE(_xlfn.TEXTBEFORE(Table1[[#This Row],[elease Date]], " " ) &amp; 1) -1)</f>
        <v>5</v>
      </c>
      <c r="F79" t="str">
        <f>_xlfn.TEXTAFTER(Table1[[#This Row],[elease Date]], ", ")</f>
        <v>2019 (May)</v>
      </c>
      <c r="G79" s="1" t="str">
        <f>IF(LEN(Table1[[#This Row],[Year_]]) = 4,Table1[[#This Row],[Year_]], _xlfn.TEXTBEFORE(Table1[[#This Row],[Year_]], " "))</f>
        <v>2019</v>
      </c>
    </row>
    <row r="80" spans="1:7" x14ac:dyDescent="0.25">
      <c r="A80" t="s">
        <v>219</v>
      </c>
      <c r="B80" t="s">
        <v>220</v>
      </c>
      <c r="C80" t="s">
        <v>221</v>
      </c>
      <c r="D80">
        <f>LEFT(Table1[[#This Row],[Actual]],LEN(Table1[[#This Row],[Actual]])-1)*1000000000</f>
        <v>-3430000000</v>
      </c>
      <c r="E80">
        <f>MONTH(DATEVALUE(_xlfn.TEXTBEFORE(Table1[[#This Row],[elease Date]], " " ) &amp; 1) -1)</f>
        <v>4</v>
      </c>
      <c r="F80" t="str">
        <f>_xlfn.TEXTAFTER(Table1[[#This Row],[elease Date]], ", ")</f>
        <v>2019 (Apr)</v>
      </c>
      <c r="G80" s="1" t="str">
        <f>IF(LEN(Table1[[#This Row],[Year_]]) = 4,Table1[[#This Row],[Year_]], _xlfn.TEXTBEFORE(Table1[[#This Row],[Year_]], " "))</f>
        <v>2019</v>
      </c>
    </row>
    <row r="81" spans="1:7" x14ac:dyDescent="0.25">
      <c r="A81" t="s">
        <v>222</v>
      </c>
      <c r="B81" t="s">
        <v>201</v>
      </c>
      <c r="C81" t="s">
        <v>223</v>
      </c>
      <c r="D81">
        <f>LEFT(Table1[[#This Row],[Actual]],LEN(Table1[[#This Row],[Actual]])-1)*1000000000</f>
        <v>5000000000</v>
      </c>
      <c r="E81">
        <f>MONTH(DATEVALUE(_xlfn.TEXTBEFORE(Table1[[#This Row],[elease Date]], " " ) &amp; 1) -1)</f>
        <v>3</v>
      </c>
      <c r="F81" t="str">
        <f>_xlfn.TEXTAFTER(Table1[[#This Row],[elease Date]], ", ")</f>
        <v>2019 (Mar)</v>
      </c>
      <c r="G81" s="1" t="str">
        <f>IF(LEN(Table1[[#This Row],[Year_]]) = 4,Table1[[#This Row],[Year_]], _xlfn.TEXTBEFORE(Table1[[#This Row],[Year_]], " "))</f>
        <v>2019</v>
      </c>
    </row>
    <row r="82" spans="1:7" x14ac:dyDescent="0.25">
      <c r="A82" t="s">
        <v>224</v>
      </c>
      <c r="B82" t="s">
        <v>225</v>
      </c>
      <c r="C82" t="s">
        <v>226</v>
      </c>
      <c r="D82">
        <f>LEFT(Table1[[#This Row],[Actual]],LEN(Table1[[#This Row],[Actual]])-1)*1000000000</f>
        <v>3990000000</v>
      </c>
      <c r="E82">
        <f>MONTH(DATEVALUE(_xlfn.TEXTBEFORE(Table1[[#This Row],[elease Date]], " " ) &amp; 1) -1)</f>
        <v>2</v>
      </c>
      <c r="F82" t="str">
        <f>_xlfn.TEXTAFTER(Table1[[#This Row],[elease Date]], ", ")</f>
        <v>2019 (Feb)</v>
      </c>
      <c r="G82" s="1" t="str">
        <f>IF(LEN(Table1[[#This Row],[Year_]]) = 4,Table1[[#This Row],[Year_]], _xlfn.TEXTBEFORE(Table1[[#This Row],[Year_]], " "))</f>
        <v>2019</v>
      </c>
    </row>
    <row r="83" spans="1:7" x14ac:dyDescent="0.25">
      <c r="A83" t="s">
        <v>227</v>
      </c>
      <c r="B83" t="s">
        <v>228</v>
      </c>
      <c r="C83" t="s">
        <v>229</v>
      </c>
      <c r="D83">
        <f>LEFT(Table1[[#This Row],[Actual]],LEN(Table1[[#This Row],[Actual]])-1)*1000000000</f>
        <v>-13080000000</v>
      </c>
      <c r="E83">
        <f>MONTH(DATEVALUE(_xlfn.TEXTBEFORE(Table1[[#This Row],[elease Date]], " " ) &amp; 1) -1)</f>
        <v>1</v>
      </c>
      <c r="F83" t="str">
        <f>_xlfn.TEXTAFTER(Table1[[#This Row],[elease Date]], ", ")</f>
        <v>2019 (Jan)</v>
      </c>
      <c r="G83" s="1" t="str">
        <f>IF(LEN(Table1[[#This Row],[Year_]]) = 4,Table1[[#This Row],[Year_]], _xlfn.TEXTBEFORE(Table1[[#This Row],[Year_]], " "))</f>
        <v>2019</v>
      </c>
    </row>
    <row r="84" spans="1:7" x14ac:dyDescent="0.25">
      <c r="A84" t="s">
        <v>230</v>
      </c>
      <c r="B84" t="s">
        <v>231</v>
      </c>
      <c r="C84" t="s">
        <v>232</v>
      </c>
      <c r="D84">
        <f>LEFT(Table1[[#This Row],[Actual]],LEN(Table1[[#This Row],[Actual]])-1)*1000000000</f>
        <v>17170000000.000002</v>
      </c>
      <c r="E84">
        <f>MONTH(DATEVALUE(_xlfn.TEXTBEFORE(Table1[[#This Row],[elease Date]], " " ) &amp; 1) -1)</f>
        <v>12</v>
      </c>
      <c r="F84" t="str">
        <f>_xlfn.TEXTAFTER(Table1[[#This Row],[elease Date]], ", ")</f>
        <v>2019 (Dec)</v>
      </c>
      <c r="G84" s="1" t="str">
        <f>IF(LEN(Table1[[#This Row],[Year_]]) = 4,Table1[[#This Row],[Year_]], _xlfn.TEXTBEFORE(Table1[[#This Row],[Year_]], " "))</f>
        <v>2019</v>
      </c>
    </row>
    <row r="85" spans="1:7" x14ac:dyDescent="0.25">
      <c r="A85" t="s">
        <v>233</v>
      </c>
      <c r="B85" t="s">
        <v>234</v>
      </c>
      <c r="C85" t="s">
        <v>235</v>
      </c>
      <c r="D85">
        <f>LEFT(Table1[[#This Row],[Actual]],LEN(Table1[[#This Row],[Actual]])-1)*1000000000</f>
        <v>3490000000</v>
      </c>
      <c r="E85">
        <f>MONTH(DATEVALUE(_xlfn.TEXTBEFORE(Table1[[#This Row],[elease Date]], " " ) &amp; 1) -1)</f>
        <v>11</v>
      </c>
      <c r="F85" t="str">
        <f>_xlfn.TEXTAFTER(Table1[[#This Row],[elease Date]], ", ")</f>
        <v>2018 (Nov)</v>
      </c>
      <c r="G85" s="1" t="str">
        <f>IF(LEN(Table1[[#This Row],[Year_]]) = 4,Table1[[#This Row],[Year_]], _xlfn.TEXTBEFORE(Table1[[#This Row],[Year_]], " "))</f>
        <v>2018</v>
      </c>
    </row>
    <row r="86" spans="1:7" x14ac:dyDescent="0.25">
      <c r="A86" t="s">
        <v>236</v>
      </c>
      <c r="B86" t="s">
        <v>237</v>
      </c>
      <c r="C86" t="s">
        <v>238</v>
      </c>
      <c r="D86">
        <f>LEFT(Table1[[#This Row],[Actual]],LEN(Table1[[#This Row],[Actual]])-1)*1000000000</f>
        <v>-5550000000</v>
      </c>
      <c r="E86">
        <f>MONTH(DATEVALUE(_xlfn.TEXTBEFORE(Table1[[#This Row],[elease Date]], " " ) &amp; 1) -1)</f>
        <v>10</v>
      </c>
      <c r="F86" t="str">
        <f>_xlfn.TEXTAFTER(Table1[[#This Row],[elease Date]], ", ")</f>
        <v>2018 (Oct)</v>
      </c>
      <c r="G86" s="1" t="str">
        <f>IF(LEN(Table1[[#This Row],[Year_]]) = 4,Table1[[#This Row],[Year_]], _xlfn.TEXTBEFORE(Table1[[#This Row],[Year_]], " "))</f>
        <v>2018</v>
      </c>
    </row>
    <row r="87" spans="1:7" x14ac:dyDescent="0.25">
      <c r="A87" t="s">
        <v>239</v>
      </c>
      <c r="B87" t="s">
        <v>240</v>
      </c>
      <c r="C87" t="s">
        <v>242</v>
      </c>
      <c r="D87">
        <f>LEFT(Table1[[#This Row],[Actual]],LEN(Table1[[#This Row],[Actual]])-1)*1000000000</f>
        <v>-2950000000</v>
      </c>
      <c r="E87">
        <f>MONTH(DATEVALUE(_xlfn.TEXTBEFORE(Table1[[#This Row],[elease Date]], " " ) &amp; 1) -1)</f>
        <v>9</v>
      </c>
      <c r="F87" t="str">
        <f>_xlfn.TEXTAFTER(Table1[[#This Row],[elease Date]], ", ")</f>
        <v>2018 (Sep)</v>
      </c>
      <c r="G87" s="1" t="str">
        <f>IF(LEN(Table1[[#This Row],[Year_]]) = 4,Table1[[#This Row],[Year_]], _xlfn.TEXTBEFORE(Table1[[#This Row],[Year_]], " "))</f>
        <v>2018</v>
      </c>
    </row>
    <row r="88" spans="1:7" x14ac:dyDescent="0.25">
      <c r="A88" t="s">
        <v>243</v>
      </c>
      <c r="B88" t="s">
        <v>244</v>
      </c>
      <c r="C88" t="s">
        <v>245</v>
      </c>
      <c r="D88">
        <f>LEFT(Table1[[#This Row],[Actual]],LEN(Table1[[#This Row],[Actual]])-1)*1000000000</f>
        <v>8790000000</v>
      </c>
      <c r="E88">
        <f>MONTH(DATEVALUE(_xlfn.TEXTBEFORE(Table1[[#This Row],[elease Date]], " " ) &amp; 1) -1)</f>
        <v>8</v>
      </c>
      <c r="F88" t="str">
        <f>_xlfn.TEXTAFTER(Table1[[#This Row],[elease Date]], ", ")</f>
        <v>2018 (Aug)</v>
      </c>
      <c r="G88" s="1" t="str">
        <f>IF(LEN(Table1[[#This Row],[Year_]]) = 4,Table1[[#This Row],[Year_]], _xlfn.TEXTBEFORE(Table1[[#This Row],[Year_]], " "))</f>
        <v>2018</v>
      </c>
    </row>
    <row r="89" spans="1:7" x14ac:dyDescent="0.25">
      <c r="A89" t="s">
        <v>246</v>
      </c>
      <c r="B89" t="s">
        <v>247</v>
      </c>
      <c r="C89" t="s">
        <v>248</v>
      </c>
      <c r="D89">
        <f>LEFT(Table1[[#This Row],[Actual]],LEN(Table1[[#This Row],[Actual]])-1)*1000000000</f>
        <v>-4660000000</v>
      </c>
      <c r="E89">
        <f>MONTH(DATEVALUE(_xlfn.TEXTBEFORE(Table1[[#This Row],[elease Date]], " " ) &amp; 1) -1)</f>
        <v>7</v>
      </c>
      <c r="F89" t="str">
        <f>_xlfn.TEXTAFTER(Table1[[#This Row],[elease Date]], ", ")</f>
        <v>2018 (Jul)</v>
      </c>
      <c r="G89" s="1" t="str">
        <f>IF(LEN(Table1[[#This Row],[Year_]]) = 4,Table1[[#This Row],[Year_]], _xlfn.TEXTBEFORE(Table1[[#This Row],[Year_]], " "))</f>
        <v>2018</v>
      </c>
    </row>
    <row r="90" spans="1:7" x14ac:dyDescent="0.25">
      <c r="A90" t="s">
        <v>249</v>
      </c>
      <c r="B90" t="s">
        <v>73</v>
      </c>
      <c r="C90" t="s">
        <v>250</v>
      </c>
      <c r="D90">
        <f>LEFT(Table1[[#This Row],[Actual]],LEN(Table1[[#This Row],[Actual]])-1)*1000000000</f>
        <v>12000000000</v>
      </c>
      <c r="E90">
        <f>MONTH(DATEVALUE(_xlfn.TEXTBEFORE(Table1[[#This Row],[elease Date]], " " ) &amp; 1) -1)</f>
        <v>6</v>
      </c>
      <c r="F90" t="str">
        <f>_xlfn.TEXTAFTER(Table1[[#This Row],[elease Date]], ", ")</f>
        <v>2018 (Jun)</v>
      </c>
      <c r="G90" s="1" t="str">
        <f>IF(LEN(Table1[[#This Row],[Year_]]) = 4,Table1[[#This Row],[Year_]], _xlfn.TEXTBEFORE(Table1[[#This Row],[Year_]], " "))</f>
        <v>2018</v>
      </c>
    </row>
    <row r="91" spans="1:7" x14ac:dyDescent="0.25">
      <c r="A91" t="s">
        <v>251</v>
      </c>
      <c r="B91" t="s">
        <v>252</v>
      </c>
      <c r="C91" t="s">
        <v>253</v>
      </c>
      <c r="D91">
        <f>LEFT(Table1[[#This Row],[Actual]],LEN(Table1[[#This Row],[Actual]])-1)*1000000000</f>
        <v>3520000000</v>
      </c>
      <c r="E91">
        <f>MONTH(DATEVALUE(_xlfn.TEXTBEFORE(Table1[[#This Row],[elease Date]], " " ) &amp; 1) -1)</f>
        <v>5</v>
      </c>
      <c r="F91" t="str">
        <f>_xlfn.TEXTAFTER(Table1[[#This Row],[elease Date]], ", ")</f>
        <v>2018 (May)</v>
      </c>
      <c r="G91" s="1" t="str">
        <f>IF(LEN(Table1[[#This Row],[Year_]]) = 4,Table1[[#This Row],[Year_]], _xlfn.TEXTBEFORE(Table1[[#This Row],[Year_]], " "))</f>
        <v>2018</v>
      </c>
    </row>
    <row r="92" spans="1:7" x14ac:dyDescent="0.25">
      <c r="A92" t="s">
        <v>254</v>
      </c>
      <c r="B92" t="s">
        <v>255</v>
      </c>
      <c r="C92" t="s">
        <v>256</v>
      </c>
      <c r="D92">
        <f>LEFT(Table1[[#This Row],[Actual]],LEN(Table1[[#This Row],[Actual]])-1)*1000000000</f>
        <v>1140000000</v>
      </c>
      <c r="E92">
        <f>MONTH(DATEVALUE(_xlfn.TEXTBEFORE(Table1[[#This Row],[elease Date]], " " ) &amp; 1) -1)</f>
        <v>4</v>
      </c>
      <c r="F92" t="str">
        <f>_xlfn.TEXTAFTER(Table1[[#This Row],[elease Date]], ", ")</f>
        <v>2018 (Apr)</v>
      </c>
      <c r="G92" s="1" t="str">
        <f>IF(LEN(Table1[[#This Row],[Year_]]) = 4,Table1[[#This Row],[Year_]], _xlfn.TEXTBEFORE(Table1[[#This Row],[Year_]], " "))</f>
        <v>2018</v>
      </c>
    </row>
    <row r="93" spans="1:7" x14ac:dyDescent="0.25">
      <c r="A93" t="s">
        <v>257</v>
      </c>
      <c r="B93" t="s">
        <v>258</v>
      </c>
      <c r="C93" t="s">
        <v>259</v>
      </c>
      <c r="D93">
        <f>LEFT(Table1[[#This Row],[Actual]],LEN(Table1[[#This Row],[Actual]])-1)*1000000000</f>
        <v>9470000000</v>
      </c>
      <c r="E93">
        <f>MONTH(DATEVALUE(_xlfn.TEXTBEFORE(Table1[[#This Row],[elease Date]], " " ) &amp; 1) -1)</f>
        <v>3</v>
      </c>
      <c r="F93" t="str">
        <f>_xlfn.TEXTAFTER(Table1[[#This Row],[elease Date]], ", ")</f>
        <v>2018 (Mar)</v>
      </c>
      <c r="G93" s="1" t="str">
        <f>IF(LEN(Table1[[#This Row],[Year_]]) = 4,Table1[[#This Row],[Year_]], _xlfn.TEXTBEFORE(Table1[[#This Row],[Year_]], " "))</f>
        <v>2018</v>
      </c>
    </row>
    <row r="94" spans="1:7" x14ac:dyDescent="0.25">
      <c r="A94" t="s">
        <v>260</v>
      </c>
      <c r="B94" t="s">
        <v>261</v>
      </c>
      <c r="C94" t="s">
        <v>262</v>
      </c>
      <c r="D94">
        <f>LEFT(Table1[[#This Row],[Actual]],LEN(Table1[[#This Row],[Actual]])-1)*1000000000</f>
        <v>430000000</v>
      </c>
      <c r="E94">
        <f>MONTH(DATEVALUE(_xlfn.TEXTBEFORE(Table1[[#This Row],[elease Date]], " " ) &amp; 1) -1)</f>
        <v>2</v>
      </c>
      <c r="F94" t="str">
        <f>_xlfn.TEXTAFTER(Table1[[#This Row],[elease Date]], ", ")</f>
        <v>2018 (Feb)</v>
      </c>
      <c r="G94" s="1" t="str">
        <f>IF(LEN(Table1[[#This Row],[Year_]]) = 4,Table1[[#This Row],[Year_]], _xlfn.TEXTBEFORE(Table1[[#This Row],[Year_]], " "))</f>
        <v>2018</v>
      </c>
    </row>
    <row r="95" spans="1:7" x14ac:dyDescent="0.25">
      <c r="A95" t="s">
        <v>263</v>
      </c>
      <c r="B95" t="s">
        <v>264</v>
      </c>
      <c r="C95" t="s">
        <v>265</v>
      </c>
      <c r="D95">
        <f>LEFT(Table1[[#This Row],[Actual]],LEN(Table1[[#This Row],[Actual]])-1)*1000000000</f>
        <v>-27700000000</v>
      </c>
      <c r="E95">
        <f>MONTH(DATEVALUE(_xlfn.TEXTBEFORE(Table1[[#This Row],[elease Date]], " " ) &amp; 1) -1)</f>
        <v>1</v>
      </c>
      <c r="F95" t="str">
        <f>_xlfn.TEXTAFTER(Table1[[#This Row],[elease Date]], ", ")</f>
        <v>2018 (Jan)</v>
      </c>
      <c r="G95" s="1" t="str">
        <f>IF(LEN(Table1[[#This Row],[Year_]]) = 4,Table1[[#This Row],[Year_]], _xlfn.TEXTBEFORE(Table1[[#This Row],[Year_]], " "))</f>
        <v>2018</v>
      </c>
    </row>
    <row r="96" spans="1:7" x14ac:dyDescent="0.25">
      <c r="A96" t="s">
        <v>266</v>
      </c>
      <c r="B96" t="s">
        <v>267</v>
      </c>
      <c r="C96" t="s">
        <v>268</v>
      </c>
      <c r="D96">
        <f>LEFT(Table1[[#This Row],[Actual]],LEN(Table1[[#This Row],[Actual]])-1)*1000000000</f>
        <v>15720000000</v>
      </c>
      <c r="E96">
        <f>MONTH(DATEVALUE(_xlfn.TEXTBEFORE(Table1[[#This Row],[elease Date]], " " ) &amp; 1) -1)</f>
        <v>12</v>
      </c>
      <c r="F96" t="str">
        <f>_xlfn.TEXTAFTER(Table1[[#This Row],[elease Date]], ", ")</f>
        <v>2018 (Dec)</v>
      </c>
      <c r="G96" s="1" t="str">
        <f>IF(LEN(Table1[[#This Row],[Year_]]) = 4,Table1[[#This Row],[Year_]], _xlfn.TEXTBEFORE(Table1[[#This Row],[Year_]], " "))</f>
        <v>2018</v>
      </c>
    </row>
    <row r="97" spans="1:7" x14ac:dyDescent="0.25">
      <c r="A97" t="s">
        <v>269</v>
      </c>
      <c r="B97" t="s">
        <v>270</v>
      </c>
      <c r="C97" t="s">
        <v>271</v>
      </c>
      <c r="D97">
        <f>LEFT(Table1[[#This Row],[Actual]],LEN(Table1[[#This Row],[Actual]])-1)*1000000000</f>
        <v>13020000000</v>
      </c>
      <c r="E97">
        <f>MONTH(DATEVALUE(_xlfn.TEXTBEFORE(Table1[[#This Row],[elease Date]], " " ) &amp; 1) -1)</f>
        <v>11</v>
      </c>
      <c r="F97" t="str">
        <f>_xlfn.TEXTAFTER(Table1[[#This Row],[elease Date]], ", ")</f>
        <v>2017 (Nov)</v>
      </c>
      <c r="G97" s="1" t="str">
        <f>IF(LEN(Table1[[#This Row],[Year_]]) = 4,Table1[[#This Row],[Year_]], _xlfn.TEXTBEFORE(Table1[[#This Row],[Year_]], " "))</f>
        <v>2017</v>
      </c>
    </row>
    <row r="98" spans="1:7" x14ac:dyDescent="0.25">
      <c r="A98" t="s">
        <v>272</v>
      </c>
      <c r="B98" t="s">
        <v>273</v>
      </c>
      <c r="C98" t="s">
        <v>274</v>
      </c>
      <c r="D98">
        <f>LEFT(Table1[[#This Row],[Actual]],LEN(Table1[[#This Row],[Actual]])-1)*1000000000</f>
        <v>4560000000</v>
      </c>
      <c r="E98">
        <f>MONTH(DATEVALUE(_xlfn.TEXTBEFORE(Table1[[#This Row],[elease Date]], " " ) &amp; 1) -1)</f>
        <v>10</v>
      </c>
      <c r="F98" t="str">
        <f>_xlfn.TEXTAFTER(Table1[[#This Row],[elease Date]], ", ")</f>
        <v>2017 (Oct)</v>
      </c>
      <c r="G98" s="1" t="str">
        <f>IF(LEN(Table1[[#This Row],[Year_]]) = 4,Table1[[#This Row],[Year_]], _xlfn.TEXTBEFORE(Table1[[#This Row],[Year_]], " "))</f>
        <v>2017</v>
      </c>
    </row>
    <row r="99" spans="1:7" x14ac:dyDescent="0.25">
      <c r="A99" t="s">
        <v>275</v>
      </c>
      <c r="B99" t="s">
        <v>241</v>
      </c>
      <c r="C99" t="s">
        <v>276</v>
      </c>
      <c r="D99">
        <f>LEFT(Table1[[#This Row],[Actual]],LEN(Table1[[#This Row],[Actual]])-1)*1000000000</f>
        <v>4000000000</v>
      </c>
      <c r="E99">
        <f>MONTH(DATEVALUE(_xlfn.TEXTBEFORE(Table1[[#This Row],[elease Date]], " " ) &amp; 1) -1)</f>
        <v>9</v>
      </c>
      <c r="F99" t="str">
        <f>_xlfn.TEXTAFTER(Table1[[#This Row],[elease Date]], ", ")</f>
        <v>2017 (Sep)</v>
      </c>
      <c r="G99" s="1" t="str">
        <f>IF(LEN(Table1[[#This Row],[Year_]]) = 4,Table1[[#This Row],[Year_]], _xlfn.TEXTBEFORE(Table1[[#This Row],[Year_]], " "))</f>
        <v>2017</v>
      </c>
    </row>
    <row r="100" spans="1:7" x14ac:dyDescent="0.25">
      <c r="A100" t="s">
        <v>277</v>
      </c>
      <c r="B100" t="s">
        <v>278</v>
      </c>
      <c r="C100" t="s">
        <v>279</v>
      </c>
      <c r="D100">
        <f>LEFT(Table1[[#This Row],[Actual]],LEN(Table1[[#This Row],[Actual]])-1)*1000000000</f>
        <v>5940000000</v>
      </c>
      <c r="E100">
        <f>MONTH(DATEVALUE(_xlfn.TEXTBEFORE(Table1[[#This Row],[elease Date]], " " ) &amp; 1) -1)</f>
        <v>8</v>
      </c>
      <c r="F100" t="str">
        <f>_xlfn.TEXTAFTER(Table1[[#This Row],[elease Date]], ", ")</f>
        <v>2017 (Aug)</v>
      </c>
      <c r="G100" s="1" t="str">
        <f>IF(LEN(Table1[[#This Row],[Year_]]) = 4,Table1[[#This Row],[Year_]], _xlfn.TEXTBEFORE(Table1[[#This Row],[Year_]], " "))</f>
        <v>2017</v>
      </c>
    </row>
    <row r="101" spans="1:7" x14ac:dyDescent="0.25">
      <c r="A101" t="s">
        <v>280</v>
      </c>
      <c r="B101" t="s">
        <v>281</v>
      </c>
      <c r="C101" t="s">
        <v>282</v>
      </c>
      <c r="D101">
        <f>LEFT(Table1[[#This Row],[Actual]],LEN(Table1[[#This Row],[Actual]])-1)*1000000000</f>
        <v>8990000000</v>
      </c>
      <c r="E101">
        <f>MONTH(DATEVALUE(_xlfn.TEXTBEFORE(Table1[[#This Row],[elease Date]], " " ) &amp; 1) -1)</f>
        <v>7</v>
      </c>
      <c r="F101" t="str">
        <f>_xlfn.TEXTAFTER(Table1[[#This Row],[elease Date]], ", ")</f>
        <v>2017 (Jul)</v>
      </c>
      <c r="G101" s="1" t="str">
        <f>IF(LEN(Table1[[#This Row],[Year_]]) = 4,Table1[[#This Row],[Year_]], _xlfn.TEXTBEFORE(Table1[[#This Row],[Year_]], " "))</f>
        <v>2017</v>
      </c>
    </row>
    <row r="102" spans="1:7" x14ac:dyDescent="0.25">
      <c r="A102" t="s">
        <v>283</v>
      </c>
      <c r="B102" t="s">
        <v>284</v>
      </c>
      <c r="C102" t="s">
        <v>285</v>
      </c>
      <c r="D102">
        <f>LEFT(Table1[[#This Row],[Actual]],LEN(Table1[[#This Row],[Actual]])-1)*1000000000</f>
        <v>10670000000</v>
      </c>
      <c r="E102">
        <f>MONTH(DATEVALUE(_xlfn.TEXTBEFORE(Table1[[#This Row],[elease Date]], " " ) &amp; 1) -1)</f>
        <v>6</v>
      </c>
      <c r="F102" t="str">
        <f>_xlfn.TEXTAFTER(Table1[[#This Row],[elease Date]], ", ")</f>
        <v>2017 (Jun)</v>
      </c>
      <c r="G102" s="1" t="str">
        <f>IF(LEN(Table1[[#This Row],[Year_]]) = 4,Table1[[#This Row],[Year_]], _xlfn.TEXTBEFORE(Table1[[#This Row],[Year_]], " "))</f>
        <v>2017</v>
      </c>
    </row>
    <row r="103" spans="1:7" x14ac:dyDescent="0.25">
      <c r="A103" t="s">
        <v>286</v>
      </c>
      <c r="B103" t="s">
        <v>287</v>
      </c>
      <c r="C103" t="s">
        <v>288</v>
      </c>
      <c r="D103">
        <f>LEFT(Table1[[#This Row],[Actual]],LEN(Table1[[#This Row],[Actual]])-1)*1000000000</f>
        <v>9490000000</v>
      </c>
      <c r="E103">
        <f>MONTH(DATEVALUE(_xlfn.TEXTBEFORE(Table1[[#This Row],[elease Date]], " " ) &amp; 1) -1)</f>
        <v>5</v>
      </c>
      <c r="F103" t="str">
        <f>_xlfn.TEXTAFTER(Table1[[#This Row],[elease Date]], ", ")</f>
        <v>2017 (May)</v>
      </c>
      <c r="G103" s="1" t="str">
        <f>IF(LEN(Table1[[#This Row],[Year_]]) = 4,Table1[[#This Row],[Year_]], _xlfn.TEXTBEFORE(Table1[[#This Row],[Year_]], " "))</f>
        <v>2017</v>
      </c>
    </row>
    <row r="104" spans="1:7" x14ac:dyDescent="0.25">
      <c r="A104" t="s">
        <v>289</v>
      </c>
      <c r="B104" t="s">
        <v>290</v>
      </c>
      <c r="C104" t="s">
        <v>291</v>
      </c>
      <c r="D104">
        <f>LEFT(Table1[[#This Row],[Actual]],LEN(Table1[[#This Row],[Actual]])-1)*1000000000</f>
        <v>5100000000</v>
      </c>
      <c r="E104">
        <f>MONTH(DATEVALUE(_xlfn.TEXTBEFORE(Table1[[#This Row],[elease Date]], " " ) &amp; 1) -1)</f>
        <v>4</v>
      </c>
      <c r="F104" t="str">
        <f>_xlfn.TEXTAFTER(Table1[[#This Row],[elease Date]], ", ")</f>
        <v>2017 (Apr)</v>
      </c>
      <c r="G104" s="1" t="str">
        <f>IF(LEN(Table1[[#This Row],[Year_]]) = 4,Table1[[#This Row],[Year_]], _xlfn.TEXTBEFORE(Table1[[#This Row],[Year_]], " "))</f>
        <v>2017</v>
      </c>
    </row>
    <row r="105" spans="1:7" x14ac:dyDescent="0.25">
      <c r="A105" t="s">
        <v>292</v>
      </c>
      <c r="B105" t="s">
        <v>293</v>
      </c>
      <c r="C105" t="s">
        <v>294</v>
      </c>
      <c r="D105">
        <f>LEFT(Table1[[#This Row],[Actual]],LEN(Table1[[#This Row],[Actual]])-1)*1000000000</f>
        <v>11400000000</v>
      </c>
      <c r="E105">
        <f>MONTH(DATEVALUE(_xlfn.TEXTBEFORE(Table1[[#This Row],[elease Date]], " " ) &amp; 1) -1)</f>
        <v>3</v>
      </c>
      <c r="F105" t="str">
        <f>_xlfn.TEXTAFTER(Table1[[#This Row],[elease Date]], ", ")</f>
        <v>2017 (Mar)</v>
      </c>
      <c r="G105" s="1" t="str">
        <f>IF(LEN(Table1[[#This Row],[Year_]]) = 4,Table1[[#This Row],[Year_]], _xlfn.TEXTBEFORE(Table1[[#This Row],[Year_]], " "))</f>
        <v>2017</v>
      </c>
    </row>
    <row r="106" spans="1:7" x14ac:dyDescent="0.25">
      <c r="A106" t="s">
        <v>295</v>
      </c>
      <c r="B106" t="s">
        <v>296</v>
      </c>
      <c r="C106" t="s">
        <v>297</v>
      </c>
      <c r="D106">
        <f>LEFT(Table1[[#This Row],[Actual]],LEN(Table1[[#This Row],[Actual]])-1)*1000000000</f>
        <v>5220000000</v>
      </c>
      <c r="E106">
        <f>MONTH(DATEVALUE(_xlfn.TEXTBEFORE(Table1[[#This Row],[elease Date]], " " ) &amp; 1) -1)</f>
        <v>2</v>
      </c>
      <c r="F106" t="str">
        <f>_xlfn.TEXTAFTER(Table1[[#This Row],[elease Date]], ", ")</f>
        <v>2017 (Feb)</v>
      </c>
      <c r="G106" s="1" t="str">
        <f>IF(LEN(Table1[[#This Row],[Year_]]) = 4,Table1[[#This Row],[Year_]], _xlfn.TEXTBEFORE(Table1[[#This Row],[Year_]], " "))</f>
        <v>2017</v>
      </c>
    </row>
    <row r="107" spans="1:7" x14ac:dyDescent="0.25">
      <c r="A107" t="s">
        <v>298</v>
      </c>
      <c r="B107" t="s">
        <v>299</v>
      </c>
      <c r="C107" t="s">
        <v>300</v>
      </c>
      <c r="D107">
        <f>LEFT(Table1[[#This Row],[Actual]],LEN(Table1[[#This Row],[Actual]])-1)*1000000000</f>
        <v>-10810000000</v>
      </c>
      <c r="E107">
        <f>MONTH(DATEVALUE(_xlfn.TEXTBEFORE(Table1[[#This Row],[elease Date]], " " ) &amp; 1) -1)</f>
        <v>1</v>
      </c>
      <c r="F107" t="str">
        <f>_xlfn.TEXTAFTER(Table1[[#This Row],[elease Date]], ", ")</f>
        <v>2017</v>
      </c>
      <c r="G107" s="1" t="str">
        <f>IF(LEN(Table1[[#This Row],[Year_]]) = 4,Table1[[#This Row],[Year_]], _xlfn.TEXTBEFORE(Table1[[#This Row],[Year_]], " "))</f>
        <v>2017</v>
      </c>
    </row>
    <row r="108" spans="1:7" x14ac:dyDescent="0.25">
      <c r="A108" t="s">
        <v>301</v>
      </c>
      <c r="B108" t="s">
        <v>300</v>
      </c>
      <c r="C108" t="s">
        <v>302</v>
      </c>
      <c r="D108">
        <f>LEFT(Table1[[#This Row],[Actual]],LEN(Table1[[#This Row],[Actual]])-1)*1000000000</f>
        <v>12040000000</v>
      </c>
      <c r="E108">
        <f>MONTH(DATEVALUE(_xlfn.TEXTBEFORE(Table1[[#This Row],[elease Date]], " " ) &amp; 1) -1)</f>
        <v>12</v>
      </c>
      <c r="F108" t="str">
        <f>_xlfn.TEXTAFTER(Table1[[#This Row],[elease Date]], ", ")</f>
        <v>2017 (Dec)</v>
      </c>
      <c r="G108" s="1" t="str">
        <f>IF(LEN(Table1[[#This Row],[Year_]]) = 4,Table1[[#This Row],[Year_]], _xlfn.TEXTBEFORE(Table1[[#This Row],[Year_]], " "))</f>
        <v>2017</v>
      </c>
    </row>
    <row r="109" spans="1:7" x14ac:dyDescent="0.25">
      <c r="A109" t="s">
        <v>303</v>
      </c>
      <c r="B109" t="s">
        <v>304</v>
      </c>
      <c r="C109" t="s">
        <v>305</v>
      </c>
      <c r="D109">
        <f>LEFT(Table1[[#This Row],[Actual]],LEN(Table1[[#This Row],[Actual]])-1)*1000000000</f>
        <v>-1090000000</v>
      </c>
      <c r="E109">
        <f>MONTH(DATEVALUE(_xlfn.TEXTBEFORE(Table1[[#This Row],[elease Date]], " " ) &amp; 1) -1)</f>
        <v>11</v>
      </c>
      <c r="F109" t="str">
        <f>_xlfn.TEXTAFTER(Table1[[#This Row],[elease Date]], ", ")</f>
        <v>2016 (Nov)</v>
      </c>
      <c r="G109" s="1" t="str">
        <f>IF(LEN(Table1[[#This Row],[Year_]]) = 4,Table1[[#This Row],[Year_]], _xlfn.TEXTBEFORE(Table1[[#This Row],[Year_]], " "))</f>
        <v>2016</v>
      </c>
    </row>
    <row r="110" spans="1:7" x14ac:dyDescent="0.25">
      <c r="A110" t="s">
        <v>306</v>
      </c>
      <c r="B110" t="s">
        <v>307</v>
      </c>
      <c r="C110" t="s">
        <v>308</v>
      </c>
      <c r="D110">
        <f>LEFT(Table1[[#This Row],[Actual]],LEN(Table1[[#This Row],[Actual]])-1)*1000000000</f>
        <v>-4410000000</v>
      </c>
      <c r="E110">
        <f>MONTH(DATEVALUE(_xlfn.TEXTBEFORE(Table1[[#This Row],[elease Date]], " " ) &amp; 1) -1)</f>
        <v>10</v>
      </c>
      <c r="F110" t="str">
        <f>_xlfn.TEXTAFTER(Table1[[#This Row],[elease Date]], ", ")</f>
        <v>2016 (Oct)</v>
      </c>
      <c r="G110" s="1" t="str">
        <f>IF(LEN(Table1[[#This Row],[Year_]]) = 4,Table1[[#This Row],[Year_]], _xlfn.TEXTBEFORE(Table1[[#This Row],[Year_]], " "))</f>
        <v>2016</v>
      </c>
    </row>
    <row r="111" spans="1:7" x14ac:dyDescent="0.25">
      <c r="A111" t="s">
        <v>309</v>
      </c>
      <c r="B111" t="s">
        <v>310</v>
      </c>
      <c r="C111" t="s">
        <v>311</v>
      </c>
      <c r="D111">
        <f>LEFT(Table1[[#This Row],[Actual]],LEN(Table1[[#This Row],[Actual]])-1)*1000000000</f>
        <v>6700000000</v>
      </c>
      <c r="E111">
        <f>MONTH(DATEVALUE(_xlfn.TEXTBEFORE(Table1[[#This Row],[elease Date]], " " ) &amp; 1) -1)</f>
        <v>9</v>
      </c>
      <c r="F111" t="str">
        <f>_xlfn.TEXTAFTER(Table1[[#This Row],[elease Date]], ", ")</f>
        <v>2016 (Sep)</v>
      </c>
      <c r="G111" s="1" t="str">
        <f>IF(LEN(Table1[[#This Row],[Year_]]) = 4,Table1[[#This Row],[Year_]], _xlfn.TEXTBEFORE(Table1[[#This Row],[Year_]], " "))</f>
        <v>2016</v>
      </c>
    </row>
    <row r="112" spans="1:7" x14ac:dyDescent="0.25">
      <c r="A112" t="s">
        <v>312</v>
      </c>
      <c r="B112" t="s">
        <v>313</v>
      </c>
      <c r="C112" t="s">
        <v>314</v>
      </c>
      <c r="D112">
        <f>LEFT(Table1[[#This Row],[Actual]],LEN(Table1[[#This Row],[Actual]])-1)*1000000000</f>
        <v>-8560000000.000001</v>
      </c>
      <c r="E112">
        <f>MONTH(DATEVALUE(_xlfn.TEXTBEFORE(Table1[[#This Row],[elease Date]], " " ) &amp; 1) -1)</f>
        <v>8</v>
      </c>
      <c r="F112" t="str">
        <f>_xlfn.TEXTAFTER(Table1[[#This Row],[elease Date]], ", ")</f>
        <v>2016 (Aug)</v>
      </c>
      <c r="G112" s="1" t="str">
        <f>IF(LEN(Table1[[#This Row],[Year_]]) = 4,Table1[[#This Row],[Year_]], _xlfn.TEXTBEFORE(Table1[[#This Row],[Year_]], " "))</f>
        <v>2016</v>
      </c>
    </row>
    <row r="113" spans="1:7" x14ac:dyDescent="0.25">
      <c r="A113" t="s">
        <v>315</v>
      </c>
      <c r="B113" t="s">
        <v>296</v>
      </c>
      <c r="C113" t="s">
        <v>316</v>
      </c>
      <c r="D113">
        <f>LEFT(Table1[[#This Row],[Actual]],LEN(Table1[[#This Row],[Actual]])-1)*1000000000</f>
        <v>5220000000</v>
      </c>
      <c r="E113">
        <f>MONTH(DATEVALUE(_xlfn.TEXTBEFORE(Table1[[#This Row],[elease Date]], " " ) &amp; 1) -1)</f>
        <v>7</v>
      </c>
      <c r="F113" t="str">
        <f>_xlfn.TEXTAFTER(Table1[[#This Row],[elease Date]], ", ")</f>
        <v>2016 (Jul)</v>
      </c>
      <c r="G113" s="1" t="str">
        <f>IF(LEN(Table1[[#This Row],[Year_]]) = 4,Table1[[#This Row],[Year_]], _xlfn.TEXTBEFORE(Table1[[#This Row],[Year_]], " "))</f>
        <v>2016</v>
      </c>
    </row>
    <row r="114" spans="1:7" x14ac:dyDescent="0.25">
      <c r="A114" t="s">
        <v>317</v>
      </c>
      <c r="B114" t="s">
        <v>318</v>
      </c>
      <c r="C114" t="s">
        <v>319</v>
      </c>
      <c r="D114">
        <f>LEFT(Table1[[#This Row],[Actual]],LEN(Table1[[#This Row],[Actual]])-1)*1000000000</f>
        <v>12530000000</v>
      </c>
      <c r="E114">
        <f>MONTH(DATEVALUE(_xlfn.TEXTBEFORE(Table1[[#This Row],[elease Date]], " " ) &amp; 1) -1)</f>
        <v>6</v>
      </c>
      <c r="F114" t="str">
        <f>_xlfn.TEXTAFTER(Table1[[#This Row],[elease Date]], ", ")</f>
        <v>2016 (Jun)</v>
      </c>
      <c r="G114" s="1" t="str">
        <f>IF(LEN(Table1[[#This Row],[Year_]]) = 4,Table1[[#This Row],[Year_]], _xlfn.TEXTBEFORE(Table1[[#This Row],[Year_]], " "))</f>
        <v>2016</v>
      </c>
    </row>
    <row r="115" spans="1:7" x14ac:dyDescent="0.25">
      <c r="A115" t="s">
        <v>320</v>
      </c>
      <c r="B115" t="s">
        <v>321</v>
      </c>
      <c r="C115" t="s">
        <v>322</v>
      </c>
      <c r="D115">
        <f>LEFT(Table1[[#This Row],[Actual]],LEN(Table1[[#This Row],[Actual]])-1)*1000000000</f>
        <v>18730000000</v>
      </c>
      <c r="E115">
        <f>MONTH(DATEVALUE(_xlfn.TEXTBEFORE(Table1[[#This Row],[elease Date]], " " ) &amp; 1) -1)</f>
        <v>5</v>
      </c>
      <c r="F115" t="str">
        <f>_xlfn.TEXTAFTER(Table1[[#This Row],[elease Date]], ", ")</f>
        <v>2016 (May)</v>
      </c>
      <c r="G115" s="1" t="str">
        <f>IF(LEN(Table1[[#This Row],[Year_]]) = 4,Table1[[#This Row],[Year_]], _xlfn.TEXTBEFORE(Table1[[#This Row],[Year_]], " "))</f>
        <v>2016</v>
      </c>
    </row>
    <row r="116" spans="1:7" x14ac:dyDescent="0.25">
      <c r="A116" t="s">
        <v>323</v>
      </c>
      <c r="B116" t="s">
        <v>261</v>
      </c>
      <c r="C116" t="s">
        <v>324</v>
      </c>
      <c r="D116">
        <f>LEFT(Table1[[#This Row],[Actual]],LEN(Table1[[#This Row],[Actual]])-1)*1000000000</f>
        <v>430000000</v>
      </c>
      <c r="E116">
        <f>MONTH(DATEVALUE(_xlfn.TEXTBEFORE(Table1[[#This Row],[elease Date]], " " ) &amp; 1) -1)</f>
        <v>4</v>
      </c>
      <c r="F116" t="str">
        <f>_xlfn.TEXTAFTER(Table1[[#This Row],[elease Date]], ", ")</f>
        <v>2016 (Apr)</v>
      </c>
      <c r="G116" s="1" t="str">
        <f>IF(LEN(Table1[[#This Row],[Year_]]) = 4,Table1[[#This Row],[Year_]], _xlfn.TEXTBEFORE(Table1[[#This Row],[Year_]], " "))</f>
        <v>2016</v>
      </c>
    </row>
    <row r="117" spans="1:7" x14ac:dyDescent="0.25">
      <c r="A117" t="s">
        <v>325</v>
      </c>
      <c r="B117" t="s">
        <v>326</v>
      </c>
      <c r="C117" t="s">
        <v>327</v>
      </c>
      <c r="D117">
        <f>LEFT(Table1[[#This Row],[Actual]],LEN(Table1[[#This Row],[Actual]])-1)*1000000000</f>
        <v>2920000000</v>
      </c>
      <c r="E117">
        <f>MONTH(DATEVALUE(_xlfn.TEXTBEFORE(Table1[[#This Row],[elease Date]], " " ) &amp; 1) -1)</f>
        <v>3</v>
      </c>
      <c r="F117" t="str">
        <f>_xlfn.TEXTAFTER(Table1[[#This Row],[elease Date]], ", ")</f>
        <v>2016 (Mar)</v>
      </c>
      <c r="G117" s="1" t="str">
        <f>IF(LEN(Table1[[#This Row],[Year_]]) = 4,Table1[[#This Row],[Year_]], _xlfn.TEXTBEFORE(Table1[[#This Row],[Year_]], " "))</f>
        <v>2016</v>
      </c>
    </row>
    <row r="118" spans="1:7" x14ac:dyDescent="0.25">
      <c r="A118" t="s">
        <v>328</v>
      </c>
      <c r="B118" t="s">
        <v>329</v>
      </c>
      <c r="C118" t="s">
        <v>330</v>
      </c>
      <c r="D118">
        <f>LEFT(Table1[[#This Row],[Actual]],LEN(Table1[[#This Row],[Actual]])-1)*1000000000</f>
        <v>-1070000000.0000001</v>
      </c>
      <c r="E118">
        <f>MONTH(DATEVALUE(_xlfn.TEXTBEFORE(Table1[[#This Row],[elease Date]], " " ) &amp; 1) -1)</f>
        <v>2</v>
      </c>
      <c r="F118" t="str">
        <f>_xlfn.TEXTAFTER(Table1[[#This Row],[elease Date]], ", ")</f>
        <v>2016 (Feb)</v>
      </c>
      <c r="G118" s="1" t="str">
        <f>IF(LEN(Table1[[#This Row],[Year_]]) = 4,Table1[[#This Row],[Year_]], _xlfn.TEXTBEFORE(Table1[[#This Row],[Year_]], " "))</f>
        <v>2016</v>
      </c>
    </row>
    <row r="119" spans="1:7" x14ac:dyDescent="0.25">
      <c r="A119" t="s">
        <v>331</v>
      </c>
      <c r="B119" t="s">
        <v>332</v>
      </c>
      <c r="C119" t="s">
        <v>333</v>
      </c>
      <c r="D119">
        <f>LEFT(Table1[[#This Row],[Actual]],LEN(Table1[[#This Row],[Actual]])-1)*1000000000</f>
        <v>-17870000000</v>
      </c>
      <c r="E119">
        <f>MONTH(DATEVALUE(_xlfn.TEXTBEFORE(Table1[[#This Row],[elease Date]], " " ) &amp; 1) -1)</f>
        <v>1</v>
      </c>
      <c r="F119" t="str">
        <f>_xlfn.TEXTAFTER(Table1[[#This Row],[elease Date]], ", ")</f>
        <v>2016 (Jan)</v>
      </c>
      <c r="G119" s="1" t="str">
        <f>IF(LEN(Table1[[#This Row],[Year_]]) = 4,Table1[[#This Row],[Year_]], _xlfn.TEXTBEFORE(Table1[[#This Row],[Year_]], " "))</f>
        <v>2016</v>
      </c>
    </row>
    <row r="120" spans="1:7" x14ac:dyDescent="0.25">
      <c r="A120" t="s">
        <v>334</v>
      </c>
      <c r="B120" t="s">
        <v>335</v>
      </c>
      <c r="C120" t="s">
        <v>336</v>
      </c>
      <c r="D120">
        <f>LEFT(Table1[[#This Row],[Actual]],LEN(Table1[[#This Row],[Actual]])-1)*1000000000</f>
        <v>8220000000.000001</v>
      </c>
      <c r="E120">
        <f>MONTH(DATEVALUE(_xlfn.TEXTBEFORE(Table1[[#This Row],[elease Date]], " " ) &amp; 1) -1)</f>
        <v>12</v>
      </c>
      <c r="F120" t="str">
        <f>_xlfn.TEXTAFTER(Table1[[#This Row],[elease Date]], ", ")</f>
        <v>2016 (Dec)</v>
      </c>
      <c r="G120" s="1" t="str">
        <f>IF(LEN(Table1[[#This Row],[Year_]]) = 4,Table1[[#This Row],[Year_]], _xlfn.TEXTBEFORE(Table1[[#This Row],[Year_]], " "))</f>
        <v>2016</v>
      </c>
    </row>
    <row r="121" spans="1:7" x14ac:dyDescent="0.25">
      <c r="A121" t="s">
        <v>337</v>
      </c>
      <c r="B121" t="s">
        <v>338</v>
      </c>
      <c r="C121" t="s">
        <v>339</v>
      </c>
      <c r="D121">
        <f>LEFT(Table1[[#This Row],[Actual]],LEN(Table1[[#This Row],[Actual]])-1)*1000000000</f>
        <v>1770000000</v>
      </c>
      <c r="E121">
        <f>MONTH(DATEVALUE(_xlfn.TEXTBEFORE(Table1[[#This Row],[elease Date]], " " ) &amp; 1) -1)</f>
        <v>11</v>
      </c>
      <c r="F121" t="str">
        <f>_xlfn.TEXTAFTER(Table1[[#This Row],[elease Date]], ", ")</f>
        <v>2015 (Nov)</v>
      </c>
      <c r="G121" s="1" t="str">
        <f>IF(LEN(Table1[[#This Row],[Year_]]) = 4,Table1[[#This Row],[Year_]], _xlfn.TEXTBEFORE(Table1[[#This Row],[Year_]], " "))</f>
        <v>2015</v>
      </c>
    </row>
    <row r="122" spans="1:7" x14ac:dyDescent="0.25">
      <c r="A122" t="s">
        <v>340</v>
      </c>
      <c r="B122" t="s">
        <v>341</v>
      </c>
      <c r="C122" t="s">
        <v>342</v>
      </c>
      <c r="D122">
        <f>LEFT(Table1[[#This Row],[Actual]],LEN(Table1[[#This Row],[Actual]])-1)*1000000000</f>
        <v>-21390000000</v>
      </c>
      <c r="E122">
        <f>MONTH(DATEVALUE(_xlfn.TEXTBEFORE(Table1[[#This Row],[elease Date]], " " ) &amp; 1) -1)</f>
        <v>10</v>
      </c>
      <c r="F122" t="str">
        <f>_xlfn.TEXTAFTER(Table1[[#This Row],[elease Date]], ", ")</f>
        <v>2015 (Oct)</v>
      </c>
      <c r="G122" s="1" t="str">
        <f>IF(LEN(Table1[[#This Row],[Year_]]) = 4,Table1[[#This Row],[Year_]], _xlfn.TEXTBEFORE(Table1[[#This Row],[Year_]], " "))</f>
        <v>2015</v>
      </c>
    </row>
    <row r="123" spans="1:7" x14ac:dyDescent="0.25">
      <c r="A123" t="s">
        <v>343</v>
      </c>
      <c r="B123" t="s">
        <v>344</v>
      </c>
      <c r="C123" t="s">
        <v>345</v>
      </c>
      <c r="D123">
        <f>LEFT(Table1[[#This Row],[Actual]],LEN(Table1[[#This Row],[Actual]])-1)*1000000000</f>
        <v>-890000000</v>
      </c>
      <c r="E123">
        <f>MONTH(DATEVALUE(_xlfn.TEXTBEFORE(Table1[[#This Row],[elease Date]], " " ) &amp; 1) -1)</f>
        <v>9</v>
      </c>
      <c r="F123" t="str">
        <f>_xlfn.TEXTAFTER(Table1[[#This Row],[elease Date]], ", ")</f>
        <v>2015 (Sep)</v>
      </c>
      <c r="G123" s="1" t="str">
        <f>IF(LEN(Table1[[#This Row],[Year_]]) = 4,Table1[[#This Row],[Year_]], _xlfn.TEXTBEFORE(Table1[[#This Row],[Year_]], " "))</f>
        <v>2015</v>
      </c>
    </row>
    <row r="124" spans="1:7" x14ac:dyDescent="0.25">
      <c r="A124" t="s">
        <v>346</v>
      </c>
      <c r="B124" t="s">
        <v>347</v>
      </c>
      <c r="C124" t="s">
        <v>348</v>
      </c>
      <c r="D124">
        <f>LEFT(Table1[[#This Row],[Actual]],LEN(Table1[[#This Row],[Actual]])-1)*1000000000</f>
        <v>-9950000000</v>
      </c>
      <c r="E124">
        <f>MONTH(DATEVALUE(_xlfn.TEXTBEFORE(Table1[[#This Row],[elease Date]], " " ) &amp; 1) -1)</f>
        <v>8</v>
      </c>
      <c r="F124" t="str">
        <f>_xlfn.TEXTAFTER(Table1[[#This Row],[elease Date]], ", ")</f>
        <v>2015 (Aug)</v>
      </c>
      <c r="G124" s="1" t="str">
        <f>IF(LEN(Table1[[#This Row],[Year_]]) = 4,Table1[[#This Row],[Year_]], _xlfn.TEXTBEFORE(Table1[[#This Row],[Year_]], " "))</f>
        <v>2015</v>
      </c>
    </row>
    <row r="125" spans="1:7" x14ac:dyDescent="0.25">
      <c r="A125" t="s">
        <v>349</v>
      </c>
      <c r="B125" t="s">
        <v>350</v>
      </c>
      <c r="C125" t="s">
        <v>97</v>
      </c>
      <c r="D125">
        <f>LEFT(Table1[[#This Row],[Actual]],LEN(Table1[[#This Row],[Actual]])-1)*1000000000</f>
        <v>-400000000</v>
      </c>
      <c r="E125">
        <f>MONTH(DATEVALUE(_xlfn.TEXTBEFORE(Table1[[#This Row],[elease Date]], " " ) &amp; 1) -1)</f>
        <v>7</v>
      </c>
      <c r="F125" t="str">
        <f>_xlfn.TEXTAFTER(Table1[[#This Row],[elease Date]], ", ")</f>
        <v>2015 (Jul)</v>
      </c>
      <c r="G125" s="1" t="str">
        <f>IF(LEN(Table1[[#This Row],[Year_]]) = 4,Table1[[#This Row],[Year_]], _xlfn.TEXTBEFORE(Table1[[#This Row],[Year_]], " "))</f>
        <v>2015</v>
      </c>
    </row>
    <row r="126" spans="1:7" x14ac:dyDescent="0.25">
      <c r="A126" t="s">
        <v>351</v>
      </c>
      <c r="B126" t="s">
        <v>67</v>
      </c>
      <c r="C126" t="s">
        <v>352</v>
      </c>
      <c r="D126">
        <f>LEFT(Table1[[#This Row],[Actual]],LEN(Table1[[#This Row],[Actual]])-1)*1000000000</f>
        <v>5800000000</v>
      </c>
      <c r="E126">
        <f>MONTH(DATEVALUE(_xlfn.TEXTBEFORE(Table1[[#This Row],[elease Date]], " " ) &amp; 1) -1)</f>
        <v>6</v>
      </c>
      <c r="F126" t="str">
        <f>_xlfn.TEXTAFTER(Table1[[#This Row],[elease Date]], ", ")</f>
        <v>2015 (Jun)</v>
      </c>
      <c r="G126" s="1" t="str">
        <f>IF(LEN(Table1[[#This Row],[Year_]]) = 4,Table1[[#This Row],[Year_]], _xlfn.TEXTBEFORE(Table1[[#This Row],[Year_]], " "))</f>
        <v>2015</v>
      </c>
    </row>
    <row r="127" spans="1:7" x14ac:dyDescent="0.25">
      <c r="A127" t="s">
        <v>353</v>
      </c>
      <c r="B127" t="s">
        <v>94</v>
      </c>
      <c r="C127" t="s">
        <v>354</v>
      </c>
      <c r="D127">
        <f>LEFT(Table1[[#This Row],[Actual]],LEN(Table1[[#This Row],[Actual]])-1)*1000000000</f>
        <v>4990000000</v>
      </c>
      <c r="E127">
        <f>MONTH(DATEVALUE(_xlfn.TEXTBEFORE(Table1[[#This Row],[elease Date]], " " ) &amp; 1) -1)</f>
        <v>5</v>
      </c>
      <c r="F127" t="str">
        <f>_xlfn.TEXTAFTER(Table1[[#This Row],[elease Date]], ", ")</f>
        <v>2015 (May)</v>
      </c>
      <c r="G127" s="1" t="str">
        <f>IF(LEN(Table1[[#This Row],[Year_]]) = 4,Table1[[#This Row],[Year_]], _xlfn.TEXTBEFORE(Table1[[#This Row],[Year_]], " "))</f>
        <v>2015</v>
      </c>
    </row>
    <row r="128" spans="1:7" x14ac:dyDescent="0.25">
      <c r="A128" t="s">
        <v>355</v>
      </c>
      <c r="B128" t="s">
        <v>356</v>
      </c>
      <c r="C128" t="s">
        <v>358</v>
      </c>
      <c r="D128">
        <f>LEFT(Table1[[#This Row],[Actual]],LEN(Table1[[#This Row],[Actual]])-1)*1000000000</f>
        <v>-2510000000</v>
      </c>
      <c r="E128">
        <f>MONTH(DATEVALUE(_xlfn.TEXTBEFORE(Table1[[#This Row],[elease Date]], " " ) &amp; 1) -1)</f>
        <v>4</v>
      </c>
      <c r="F128" t="str">
        <f>_xlfn.TEXTAFTER(Table1[[#This Row],[elease Date]], ", ")</f>
        <v>2015 (Apr)</v>
      </c>
      <c r="G128" s="1" t="str">
        <f>IF(LEN(Table1[[#This Row],[Year_]]) = 4,Table1[[#This Row],[Year_]], _xlfn.TEXTBEFORE(Table1[[#This Row],[Year_]], " "))</f>
        <v>2015</v>
      </c>
    </row>
    <row r="129" spans="1:7" x14ac:dyDescent="0.25">
      <c r="A129" t="s">
        <v>359</v>
      </c>
      <c r="B129" t="s">
        <v>360</v>
      </c>
      <c r="C129" t="s">
        <v>361</v>
      </c>
      <c r="D129">
        <f>LEFT(Table1[[#This Row],[Actual]],LEN(Table1[[#This Row],[Actual]])-1)*1000000000</f>
        <v>480000000</v>
      </c>
      <c r="E129">
        <f>MONTH(DATEVALUE(_xlfn.TEXTBEFORE(Table1[[#This Row],[elease Date]], " " ) &amp; 1) -1)</f>
        <v>3</v>
      </c>
      <c r="F129" t="str">
        <f>_xlfn.TEXTAFTER(Table1[[#This Row],[elease Date]], ", ")</f>
        <v>2015 (Mar)</v>
      </c>
      <c r="G129" s="1" t="str">
        <f>IF(LEN(Table1[[#This Row],[Year_]]) = 4,Table1[[#This Row],[Year_]], _xlfn.TEXTBEFORE(Table1[[#This Row],[Year_]], " "))</f>
        <v>2015</v>
      </c>
    </row>
    <row r="130" spans="1:7" x14ac:dyDescent="0.25">
      <c r="A130" t="s">
        <v>362</v>
      </c>
      <c r="B130" t="s">
        <v>363</v>
      </c>
      <c r="C130" t="s">
        <v>365</v>
      </c>
      <c r="D130">
        <f>LEFT(Table1[[#This Row],[Actual]],LEN(Table1[[#This Row],[Actual]])-1)*1000000000</f>
        <v>-8480000000</v>
      </c>
      <c r="E130">
        <f>MONTH(DATEVALUE(_xlfn.TEXTBEFORE(Table1[[#This Row],[elease Date]], " " ) &amp; 1) -1)</f>
        <v>2</v>
      </c>
      <c r="F130" t="str">
        <f>_xlfn.TEXTAFTER(Table1[[#This Row],[elease Date]], ", ")</f>
        <v>2015 (Feb)</v>
      </c>
      <c r="G130" s="1" t="str">
        <f>IF(LEN(Table1[[#This Row],[Year_]]) = 4,Table1[[#This Row],[Year_]], _xlfn.TEXTBEFORE(Table1[[#This Row],[Year_]], " "))</f>
        <v>2015</v>
      </c>
    </row>
    <row r="131" spans="1:7" x14ac:dyDescent="0.25">
      <c r="A131" t="s">
        <v>366</v>
      </c>
      <c r="B131" t="s">
        <v>365</v>
      </c>
      <c r="C131" t="s">
        <v>367</v>
      </c>
      <c r="D131">
        <f>LEFT(Table1[[#This Row],[Actual]],LEN(Table1[[#This Row],[Actual]])-1)*1000000000</f>
        <v>-24220000000</v>
      </c>
      <c r="E131">
        <f>MONTH(DATEVALUE(_xlfn.TEXTBEFORE(Table1[[#This Row],[elease Date]], " " ) &amp; 1) -1)</f>
        <v>1</v>
      </c>
      <c r="F131" t="str">
        <f>_xlfn.TEXTAFTER(Table1[[#This Row],[elease Date]], ", ")</f>
        <v>2015 (Jan)</v>
      </c>
      <c r="G131" s="1" t="str">
        <f>IF(LEN(Table1[[#This Row],[Year_]]) = 4,Table1[[#This Row],[Year_]], _xlfn.TEXTBEFORE(Table1[[#This Row],[Year_]], " "))</f>
        <v>2015</v>
      </c>
    </row>
    <row r="132" spans="1:7" x14ac:dyDescent="0.25">
      <c r="A132" t="s">
        <v>368</v>
      </c>
      <c r="B132" t="s">
        <v>369</v>
      </c>
      <c r="C132" t="s">
        <v>370</v>
      </c>
      <c r="D132">
        <f>LEFT(Table1[[#This Row],[Actual]],LEN(Table1[[#This Row],[Actual]])-1)*1000000000</f>
        <v>6850000000</v>
      </c>
      <c r="E132">
        <f>MONTH(DATEVALUE(_xlfn.TEXTBEFORE(Table1[[#This Row],[elease Date]], " " ) &amp; 1) -1)</f>
        <v>12</v>
      </c>
      <c r="F132" t="str">
        <f>_xlfn.TEXTAFTER(Table1[[#This Row],[elease Date]], ", ")</f>
        <v>2015 (Dec)</v>
      </c>
      <c r="G132" s="1" t="str">
        <f>IF(LEN(Table1[[#This Row],[Year_]]) = 4,Table1[[#This Row],[Year_]], _xlfn.TEXTBEFORE(Table1[[#This Row],[Year_]], " "))</f>
        <v>2015</v>
      </c>
    </row>
    <row r="133" spans="1:7" x14ac:dyDescent="0.25">
      <c r="A133" t="s">
        <v>371</v>
      </c>
      <c r="B133" t="s">
        <v>364</v>
      </c>
      <c r="C133" t="s">
        <v>372</v>
      </c>
      <c r="D133">
        <f>LEFT(Table1[[#This Row],[Actual]],LEN(Table1[[#This Row],[Actual]])-1)*1000000000</f>
        <v>-5700000000</v>
      </c>
      <c r="E133">
        <f>MONTH(DATEVALUE(_xlfn.TEXTBEFORE(Table1[[#This Row],[elease Date]], " " ) &amp; 1) -1)</f>
        <v>11</v>
      </c>
      <c r="F133" t="str">
        <f>_xlfn.TEXTAFTER(Table1[[#This Row],[elease Date]], ", ")</f>
        <v>2014 (Nov)</v>
      </c>
      <c r="G133" s="1" t="str">
        <f>IF(LEN(Table1[[#This Row],[Year_]]) = 4,Table1[[#This Row],[Year_]], _xlfn.TEXTBEFORE(Table1[[#This Row],[Year_]], " "))</f>
        <v>2014</v>
      </c>
    </row>
    <row r="134" spans="1:7" x14ac:dyDescent="0.25">
      <c r="A134" t="s">
        <v>373</v>
      </c>
      <c r="B134" t="s">
        <v>374</v>
      </c>
      <c r="C134" t="s">
        <v>375</v>
      </c>
      <c r="D134">
        <f>LEFT(Table1[[#This Row],[Actual]],LEN(Table1[[#This Row],[Actual]])-1)*1000000000</f>
        <v>-21330000000</v>
      </c>
      <c r="E134">
        <f>MONTH(DATEVALUE(_xlfn.TEXTBEFORE(Table1[[#This Row],[elease Date]], " " ) &amp; 1) -1)</f>
        <v>10</v>
      </c>
      <c r="F134" t="str">
        <f>_xlfn.TEXTAFTER(Table1[[#This Row],[elease Date]], ", ")</f>
        <v>2014 (Oct)</v>
      </c>
      <c r="G134" s="1" t="str">
        <f>IF(LEN(Table1[[#This Row],[Year_]]) = 4,Table1[[#This Row],[Year_]], _xlfn.TEXTBEFORE(Table1[[#This Row],[Year_]], " "))</f>
        <v>2014</v>
      </c>
    </row>
    <row r="135" spans="1:7" x14ac:dyDescent="0.25">
      <c r="A135" t="s">
        <v>376</v>
      </c>
      <c r="B135" t="s">
        <v>377</v>
      </c>
      <c r="C135" t="s">
        <v>378</v>
      </c>
      <c r="D135">
        <f>LEFT(Table1[[#This Row],[Actual]],LEN(Table1[[#This Row],[Actual]])-1)*1000000000</f>
        <v>-2910000000</v>
      </c>
      <c r="E135">
        <f>MONTH(DATEVALUE(_xlfn.TEXTBEFORE(Table1[[#This Row],[elease Date]], " " ) &amp; 1) -1)</f>
        <v>9</v>
      </c>
      <c r="F135" t="str">
        <f>_xlfn.TEXTAFTER(Table1[[#This Row],[elease Date]], ", ")</f>
        <v>2014 (Sep)</v>
      </c>
      <c r="G135" s="1" t="str">
        <f>IF(LEN(Table1[[#This Row],[Year_]]) = 4,Table1[[#This Row],[Year_]], _xlfn.TEXTBEFORE(Table1[[#This Row],[Year_]], " "))</f>
        <v>2014</v>
      </c>
    </row>
    <row r="136" spans="1:7" x14ac:dyDescent="0.25">
      <c r="A136" t="s">
        <v>379</v>
      </c>
      <c r="B136" t="s">
        <v>380</v>
      </c>
      <c r="C136" t="s">
        <v>381</v>
      </c>
      <c r="D136">
        <f>LEFT(Table1[[#This Row],[Actual]],LEN(Table1[[#This Row],[Actual]])-1)*1000000000</f>
        <v>-16300000000</v>
      </c>
      <c r="E136">
        <f>MONTH(DATEVALUE(_xlfn.TEXTBEFORE(Table1[[#This Row],[elease Date]], " " ) &amp; 1) -1)</f>
        <v>8</v>
      </c>
      <c r="F136" t="str">
        <f>_xlfn.TEXTAFTER(Table1[[#This Row],[elease Date]], ", ")</f>
        <v>2014 (Aug)</v>
      </c>
      <c r="G136" s="1" t="str">
        <f>IF(LEN(Table1[[#This Row],[Year_]]) = 4,Table1[[#This Row],[Year_]], _xlfn.TEXTBEFORE(Table1[[#This Row],[Year_]], " "))</f>
        <v>2014</v>
      </c>
    </row>
    <row r="137" spans="1:7" x14ac:dyDescent="0.25">
      <c r="A137" t="s">
        <v>382</v>
      </c>
      <c r="B137" t="s">
        <v>383</v>
      </c>
      <c r="C137" t="s">
        <v>384</v>
      </c>
      <c r="D137">
        <f>LEFT(Table1[[#This Row],[Actual]],LEN(Table1[[#This Row],[Actual]])-1)*1000000000</f>
        <v>-6880000000</v>
      </c>
      <c r="E137">
        <f>MONTH(DATEVALUE(_xlfn.TEXTBEFORE(Table1[[#This Row],[elease Date]], " " ) &amp; 1) -1)</f>
        <v>7</v>
      </c>
      <c r="F137" t="str">
        <f>_xlfn.TEXTAFTER(Table1[[#This Row],[elease Date]], ", ")</f>
        <v>2014</v>
      </c>
      <c r="G137" s="1" t="str">
        <f>IF(LEN(Table1[[#This Row],[Year_]]) = 4,Table1[[#This Row],[Year_]], _xlfn.TEXTBEFORE(Table1[[#This Row],[Year_]], " "))</f>
        <v>2014</v>
      </c>
    </row>
    <row r="138" spans="1:7" x14ac:dyDescent="0.25">
      <c r="A138" t="s">
        <v>385</v>
      </c>
      <c r="B138" t="s">
        <v>384</v>
      </c>
      <c r="C138" t="s">
        <v>386</v>
      </c>
      <c r="D138">
        <f>LEFT(Table1[[#This Row],[Actual]],LEN(Table1[[#This Row],[Actual]])-1)*1000000000</f>
        <v>-190000000</v>
      </c>
      <c r="E138">
        <f>MONTH(DATEVALUE(_xlfn.TEXTBEFORE(Table1[[#This Row],[elease Date]], " " ) &amp; 1) -1)</f>
        <v>6</v>
      </c>
      <c r="F138" t="str">
        <f>_xlfn.TEXTAFTER(Table1[[#This Row],[elease Date]], ", ")</f>
        <v>2014</v>
      </c>
      <c r="G138" s="1" t="str">
        <f>IF(LEN(Table1[[#This Row],[Year_]]) = 4,Table1[[#This Row],[Year_]], _xlfn.TEXTBEFORE(Table1[[#This Row],[Year_]], " "))</f>
        <v>2014</v>
      </c>
    </row>
    <row r="139" spans="1:7" x14ac:dyDescent="0.25">
      <c r="A139" t="s">
        <v>387</v>
      </c>
      <c r="B139" t="s">
        <v>388</v>
      </c>
      <c r="C139" t="s">
        <v>389</v>
      </c>
      <c r="D139">
        <f>LEFT(Table1[[#This Row],[Actual]],LEN(Table1[[#This Row],[Actual]])-1)*1000000000</f>
        <v>-6570000000</v>
      </c>
      <c r="E139">
        <f>MONTH(DATEVALUE(_xlfn.TEXTBEFORE(Table1[[#This Row],[elease Date]], " " ) &amp; 1) -1)</f>
        <v>5</v>
      </c>
      <c r="F139" t="str">
        <f>_xlfn.TEXTAFTER(Table1[[#This Row],[elease Date]], ", ")</f>
        <v>2014</v>
      </c>
      <c r="G139" s="1" t="str">
        <f>IF(LEN(Table1[[#This Row],[Year_]]) = 4,Table1[[#This Row],[Year_]], _xlfn.TEXTBEFORE(Table1[[#This Row],[Year_]], " "))</f>
        <v>2014</v>
      </c>
    </row>
    <row r="140" spans="1:7" x14ac:dyDescent="0.25">
      <c r="A140" t="s">
        <v>390</v>
      </c>
      <c r="B140" t="s">
        <v>389</v>
      </c>
      <c r="C140" t="s">
        <v>391</v>
      </c>
      <c r="D140">
        <f>LEFT(Table1[[#This Row],[Actual]],LEN(Table1[[#This Row],[Actual]])-1)*1000000000</f>
        <v>-13030000000</v>
      </c>
      <c r="E140">
        <f>MONTH(DATEVALUE(_xlfn.TEXTBEFORE(Table1[[#This Row],[elease Date]], " " ) &amp; 1) -1)</f>
        <v>4</v>
      </c>
      <c r="F140" t="str">
        <f>_xlfn.TEXTAFTER(Table1[[#This Row],[elease Date]], ", ")</f>
        <v>2014</v>
      </c>
      <c r="G140" s="1" t="str">
        <f>IF(LEN(Table1[[#This Row],[Year_]]) = 4,Table1[[#This Row],[Year_]], _xlfn.TEXTBEFORE(Table1[[#This Row],[Year_]], " "))</f>
        <v>2014</v>
      </c>
    </row>
    <row r="141" spans="1:7" x14ac:dyDescent="0.25">
      <c r="A141" t="s">
        <v>392</v>
      </c>
      <c r="B141" t="s">
        <v>391</v>
      </c>
      <c r="C141" t="s">
        <v>393</v>
      </c>
      <c r="D141">
        <f>LEFT(Table1[[#This Row],[Actual]],LEN(Table1[[#This Row],[Actual]])-1)*1000000000</f>
        <v>-11390000000</v>
      </c>
      <c r="E141">
        <f>MONTH(DATEVALUE(_xlfn.TEXTBEFORE(Table1[[#This Row],[elease Date]], " " ) &amp; 1) -1)</f>
        <v>3</v>
      </c>
      <c r="F141" t="str">
        <f>_xlfn.TEXTAFTER(Table1[[#This Row],[elease Date]], ", ")</f>
        <v>2014</v>
      </c>
      <c r="G141" s="1" t="str">
        <f>IF(LEN(Table1[[#This Row],[Year_]]) = 4,Table1[[#This Row],[Year_]], _xlfn.TEXTBEFORE(Table1[[#This Row],[Year_]], " "))</f>
        <v>2014</v>
      </c>
    </row>
    <row r="142" spans="1:7" x14ac:dyDescent="0.25">
      <c r="A142" t="s">
        <v>394</v>
      </c>
      <c r="B142" t="s">
        <v>393</v>
      </c>
      <c r="C142" t="s">
        <v>395</v>
      </c>
      <c r="D142">
        <f>LEFT(Table1[[#This Row],[Actual]],LEN(Table1[[#This Row],[Actual]])-1)*1000000000</f>
        <v>1720000000</v>
      </c>
      <c r="E142">
        <f>MONTH(DATEVALUE(_xlfn.TEXTBEFORE(Table1[[#This Row],[elease Date]], " " ) &amp; 1) -1)</f>
        <v>2</v>
      </c>
      <c r="F142" t="str">
        <f>_xlfn.TEXTAFTER(Table1[[#This Row],[elease Date]], ", ")</f>
        <v>2014</v>
      </c>
      <c r="G142" s="1" t="str">
        <f>IF(LEN(Table1[[#This Row],[Year_]]) = 4,Table1[[#This Row],[Year_]], _xlfn.TEXTBEFORE(Table1[[#This Row],[Year_]], " "))</f>
        <v>2014</v>
      </c>
    </row>
    <row r="143" spans="1:7" x14ac:dyDescent="0.25">
      <c r="A143" t="s">
        <v>396</v>
      </c>
      <c r="B143" t="s">
        <v>395</v>
      </c>
      <c r="C143" t="s">
        <v>103</v>
      </c>
      <c r="D143">
        <f>LEFT(Table1[[#This Row],[Actual]],LEN(Table1[[#This Row],[Actual]])-1)*1000000000</f>
        <v>-17100000000.000002</v>
      </c>
      <c r="E143">
        <f>MONTH(DATEVALUE(_xlfn.TEXTBEFORE(Table1[[#This Row],[elease Date]], " " ) &amp; 1) -1)</f>
        <v>1</v>
      </c>
      <c r="F143" t="str">
        <f>_xlfn.TEXTAFTER(Table1[[#This Row],[elease Date]], ", ")</f>
        <v>2014</v>
      </c>
      <c r="G143" s="1" t="str">
        <f>IF(LEN(Table1[[#This Row],[Year_]]) = 4,Table1[[#This Row],[Year_]], _xlfn.TEXTBEFORE(Table1[[#This Row],[Year_]], " "))</f>
        <v>2014</v>
      </c>
    </row>
    <row r="144" spans="1:7" x14ac:dyDescent="0.25">
      <c r="A144" t="s">
        <v>398</v>
      </c>
      <c r="B144" t="s">
        <v>103</v>
      </c>
      <c r="C144" t="s">
        <v>399</v>
      </c>
      <c r="D144">
        <f>LEFT(Table1[[#This Row],[Actual]],LEN(Table1[[#This Row],[Actual]])-1)*1000000000</f>
        <v>-4310000000</v>
      </c>
      <c r="E144">
        <f>MONTH(DATEVALUE(_xlfn.TEXTBEFORE(Table1[[#This Row],[elease Date]], " " ) &amp; 1) -1)</f>
        <v>12</v>
      </c>
      <c r="F144" t="str">
        <f>_xlfn.TEXTAFTER(Table1[[#This Row],[elease Date]], ", ")</f>
        <v>2014</v>
      </c>
      <c r="G144" s="1" t="str">
        <f>IF(LEN(Table1[[#This Row],[Year_]]) = 4,Table1[[#This Row],[Year_]], _xlfn.TEXTBEFORE(Table1[[#This Row],[Year_]], " "))</f>
        <v>2014</v>
      </c>
    </row>
    <row r="145" spans="1:7" x14ac:dyDescent="0.25">
      <c r="A145" t="s">
        <v>400</v>
      </c>
      <c r="B145" t="s">
        <v>399</v>
      </c>
      <c r="C145" t="s">
        <v>401</v>
      </c>
      <c r="D145">
        <f>LEFT(Table1[[#This Row],[Actual]],LEN(Table1[[#This Row],[Actual]])-1)*1000000000</f>
        <v>-9240000000</v>
      </c>
      <c r="E145">
        <f>MONTH(DATEVALUE(_xlfn.TEXTBEFORE(Table1[[#This Row],[elease Date]], " " ) &amp; 1) -1)</f>
        <v>11</v>
      </c>
      <c r="F145" t="str">
        <f>_xlfn.TEXTAFTER(Table1[[#This Row],[elease Date]], ", ")</f>
        <v>2013</v>
      </c>
      <c r="G145" s="1" t="str">
        <f>IF(LEN(Table1[[#This Row],[Year_]]) = 4,Table1[[#This Row],[Year_]], _xlfn.TEXTBEFORE(Table1[[#This Row],[Year_]], " "))</f>
        <v>2013</v>
      </c>
    </row>
    <row r="146" spans="1:7" x14ac:dyDescent="0.25">
      <c r="A146" t="s">
        <v>402</v>
      </c>
      <c r="B146" t="s">
        <v>401</v>
      </c>
      <c r="C146" t="s">
        <v>403</v>
      </c>
      <c r="D146">
        <f>LEFT(Table1[[#This Row],[Actual]],LEN(Table1[[#This Row],[Actual]])-1)*1000000000</f>
        <v>-20970000000</v>
      </c>
      <c r="E146">
        <f>MONTH(DATEVALUE(_xlfn.TEXTBEFORE(Table1[[#This Row],[elease Date]], " " ) &amp; 1) -1)</f>
        <v>10</v>
      </c>
      <c r="F146" t="str">
        <f>_xlfn.TEXTAFTER(Table1[[#This Row],[elease Date]], ", ")</f>
        <v>2013</v>
      </c>
      <c r="G146" s="1" t="str">
        <f>IF(LEN(Table1[[#This Row],[Year_]]) = 4,Table1[[#This Row],[Year_]], _xlfn.TEXTBEFORE(Table1[[#This Row],[Year_]], " "))</f>
        <v>2013</v>
      </c>
    </row>
    <row r="147" spans="1:7" x14ac:dyDescent="0.25">
      <c r="A147" t="s">
        <v>404</v>
      </c>
      <c r="B147" t="s">
        <v>403</v>
      </c>
      <c r="C147" t="s">
        <v>405</v>
      </c>
      <c r="D147">
        <f>LEFT(Table1[[#This Row],[Actual]],LEN(Table1[[#This Row],[Actual]])-1)*1000000000</f>
        <v>-18940000000</v>
      </c>
      <c r="E147">
        <f>MONTH(DATEVALUE(_xlfn.TEXTBEFORE(Table1[[#This Row],[elease Date]], " " ) &amp; 1) -1)</f>
        <v>9</v>
      </c>
      <c r="F147" t="str">
        <f>_xlfn.TEXTAFTER(Table1[[#This Row],[elease Date]], ", ")</f>
        <v>2013</v>
      </c>
      <c r="G147" s="1" t="str">
        <f>IF(LEN(Table1[[#This Row],[Year_]]) = 4,Table1[[#This Row],[Year_]], _xlfn.TEXTBEFORE(Table1[[#This Row],[Year_]], " "))</f>
        <v>2013</v>
      </c>
    </row>
    <row r="148" spans="1:7" x14ac:dyDescent="0.25">
      <c r="A148" t="s">
        <v>406</v>
      </c>
      <c r="B148" t="s">
        <v>405</v>
      </c>
      <c r="C148" t="s">
        <v>407</v>
      </c>
      <c r="D148">
        <f>LEFT(Table1[[#This Row],[Actual]],LEN(Table1[[#This Row],[Actual]])-1)*1000000000</f>
        <v>-19050000000</v>
      </c>
      <c r="E148">
        <f>MONTH(DATEVALUE(_xlfn.TEXTBEFORE(Table1[[#This Row],[elease Date]], " " ) &amp; 1) -1)</f>
        <v>8</v>
      </c>
      <c r="F148" t="str">
        <f>_xlfn.TEXTAFTER(Table1[[#This Row],[elease Date]], ", ")</f>
        <v>2013</v>
      </c>
      <c r="G148" s="1" t="str">
        <f>IF(LEN(Table1[[#This Row],[Year_]]) = 4,Table1[[#This Row],[Year_]], _xlfn.TEXTBEFORE(Table1[[#This Row],[Year_]], " "))</f>
        <v>2013</v>
      </c>
    </row>
    <row r="149" spans="1:7" x14ac:dyDescent="0.25">
      <c r="A149" t="s">
        <v>408</v>
      </c>
      <c r="B149" t="s">
        <v>407</v>
      </c>
      <c r="C149" t="s">
        <v>409</v>
      </c>
      <c r="D149">
        <f>LEFT(Table1[[#This Row],[Actual]],LEN(Table1[[#This Row],[Actual]])-1)*1000000000</f>
        <v>-14210000000</v>
      </c>
      <c r="E149">
        <f>MONTH(DATEVALUE(_xlfn.TEXTBEFORE(Table1[[#This Row],[elease Date]], " " ) &amp; 1) -1)</f>
        <v>7</v>
      </c>
      <c r="F149" t="str">
        <f>_xlfn.TEXTAFTER(Table1[[#This Row],[elease Date]], ", ")</f>
        <v>2013</v>
      </c>
      <c r="G149" s="1" t="str">
        <f>IF(LEN(Table1[[#This Row],[Year_]]) = 4,Table1[[#This Row],[Year_]], _xlfn.TEXTBEFORE(Table1[[#This Row],[Year_]], " "))</f>
        <v>2013</v>
      </c>
    </row>
    <row r="150" spans="1:7" x14ac:dyDescent="0.25">
      <c r="A150" t="s">
        <v>410</v>
      </c>
      <c r="B150" t="s">
        <v>409</v>
      </c>
      <c r="C150" t="s">
        <v>411</v>
      </c>
      <c r="D150">
        <f>LEFT(Table1[[#This Row],[Actual]],LEN(Table1[[#This Row],[Actual]])-1)*1000000000</f>
        <v>-7710000000</v>
      </c>
      <c r="E150">
        <f>MONTH(DATEVALUE(_xlfn.TEXTBEFORE(Table1[[#This Row],[elease Date]], " " ) &amp; 1) -1)</f>
        <v>6</v>
      </c>
      <c r="F150" t="str">
        <f>_xlfn.TEXTAFTER(Table1[[#This Row],[elease Date]], ", ")</f>
        <v>2013</v>
      </c>
      <c r="G150" s="1" t="str">
        <f>IF(LEN(Table1[[#This Row],[Year_]]) = 4,Table1[[#This Row],[Year_]], _xlfn.TEXTBEFORE(Table1[[#This Row],[Year_]], " "))</f>
        <v>2013</v>
      </c>
    </row>
    <row r="151" spans="1:7" x14ac:dyDescent="0.25">
      <c r="A151" t="s">
        <v>412</v>
      </c>
      <c r="B151" t="s">
        <v>411</v>
      </c>
      <c r="C151" t="s">
        <v>413</v>
      </c>
      <c r="D151">
        <f>LEFT(Table1[[#This Row],[Actual]],LEN(Table1[[#This Row],[Actual]])-1)*1000000000</f>
        <v>-11030000000</v>
      </c>
      <c r="E151">
        <f>MONTH(DATEVALUE(_xlfn.TEXTBEFORE(Table1[[#This Row],[elease Date]], " " ) &amp; 1) -1)</f>
        <v>5</v>
      </c>
      <c r="F151" t="str">
        <f>_xlfn.TEXTAFTER(Table1[[#This Row],[elease Date]], ", ")</f>
        <v>2013</v>
      </c>
      <c r="G151" s="1" t="str">
        <f>IF(LEN(Table1[[#This Row],[Year_]]) = 4,Table1[[#This Row],[Year_]], _xlfn.TEXTBEFORE(Table1[[#This Row],[Year_]], " "))</f>
        <v>2013</v>
      </c>
    </row>
    <row r="152" spans="1:7" x14ac:dyDescent="0.25">
      <c r="A152" t="s">
        <v>414</v>
      </c>
      <c r="B152" t="s">
        <v>413</v>
      </c>
      <c r="C152" t="s">
        <v>415</v>
      </c>
      <c r="D152">
        <f>LEFT(Table1[[#This Row],[Actual]],LEN(Table1[[#This Row],[Actual]])-1)*1000000000</f>
        <v>-15020000000</v>
      </c>
      <c r="E152">
        <f>MONTH(DATEVALUE(_xlfn.TEXTBEFORE(Table1[[#This Row],[elease Date]], " " ) &amp; 1) -1)</f>
        <v>4</v>
      </c>
      <c r="F152" t="str">
        <f>_xlfn.TEXTAFTER(Table1[[#This Row],[elease Date]], ", ")</f>
        <v>2013</v>
      </c>
      <c r="G152" s="1" t="str">
        <f>IF(LEN(Table1[[#This Row],[Year_]]) = 4,Table1[[#This Row],[Year_]], _xlfn.TEXTBEFORE(Table1[[#This Row],[Year_]], " "))</f>
        <v>2013</v>
      </c>
    </row>
    <row r="153" spans="1:7" x14ac:dyDescent="0.25">
      <c r="A153" t="s">
        <v>416</v>
      </c>
      <c r="B153" t="s">
        <v>415</v>
      </c>
      <c r="C153" t="s">
        <v>417</v>
      </c>
      <c r="D153">
        <f>LEFT(Table1[[#This Row],[Actual]],LEN(Table1[[#This Row],[Actual]])-1)*1000000000</f>
        <v>-7770000000</v>
      </c>
      <c r="E153">
        <f>MONTH(DATEVALUE(_xlfn.TEXTBEFORE(Table1[[#This Row],[elease Date]], " " ) &amp; 1) -1)</f>
        <v>3</v>
      </c>
      <c r="F153" t="str">
        <f>_xlfn.TEXTAFTER(Table1[[#This Row],[elease Date]], ", ")</f>
        <v>2013</v>
      </c>
      <c r="G153" s="1" t="str">
        <f>IF(LEN(Table1[[#This Row],[Year_]]) = 4,Table1[[#This Row],[Year_]], _xlfn.TEXTBEFORE(Table1[[#This Row],[Year_]], " "))</f>
        <v>2013</v>
      </c>
    </row>
    <row r="154" spans="1:7" x14ac:dyDescent="0.25">
      <c r="A154" t="s">
        <v>418</v>
      </c>
      <c r="B154" t="s">
        <v>417</v>
      </c>
      <c r="C154" t="s">
        <v>419</v>
      </c>
      <c r="D154">
        <f>LEFT(Table1[[#This Row],[Actual]],LEN(Table1[[#This Row],[Actual]])-1)*1000000000</f>
        <v>-9520000000</v>
      </c>
      <c r="E154">
        <f>MONTH(DATEVALUE(_xlfn.TEXTBEFORE(Table1[[#This Row],[elease Date]], " " ) &amp; 1) -1)</f>
        <v>2</v>
      </c>
      <c r="F154" t="str">
        <f>_xlfn.TEXTAFTER(Table1[[#This Row],[elease Date]], ", ")</f>
        <v>2013</v>
      </c>
      <c r="G154" s="1" t="str">
        <f>IF(LEN(Table1[[#This Row],[Year_]]) = 4,Table1[[#This Row],[Year_]], _xlfn.TEXTBEFORE(Table1[[#This Row],[Year_]], " "))</f>
        <v>2013</v>
      </c>
    </row>
    <row r="155" spans="1:7" x14ac:dyDescent="0.25">
      <c r="A155" t="s">
        <v>420</v>
      </c>
      <c r="B155" t="s">
        <v>419</v>
      </c>
      <c r="C155" t="s">
        <v>421</v>
      </c>
      <c r="D155">
        <f>LEFT(Table1[[#This Row],[Actual]],LEN(Table1[[#This Row],[Actual]])-1)*1000000000</f>
        <v>-24530000000</v>
      </c>
      <c r="E155">
        <f>MONTH(DATEVALUE(_xlfn.TEXTBEFORE(Table1[[#This Row],[elease Date]], " " ) &amp; 1) -1)</f>
        <v>1</v>
      </c>
      <c r="F155" t="str">
        <f>_xlfn.TEXTAFTER(Table1[[#This Row],[elease Date]], ", ")</f>
        <v>2013</v>
      </c>
      <c r="G155" s="1" t="str">
        <f>IF(LEN(Table1[[#This Row],[Year_]]) = 4,Table1[[#This Row],[Year_]], _xlfn.TEXTBEFORE(Table1[[#This Row],[Year_]], " "))</f>
        <v>2013</v>
      </c>
    </row>
    <row r="156" spans="1:7" x14ac:dyDescent="0.25">
      <c r="A156" t="s">
        <v>422</v>
      </c>
      <c r="B156" t="s">
        <v>421</v>
      </c>
      <c r="C156" t="s">
        <v>423</v>
      </c>
      <c r="D156">
        <f>LEFT(Table1[[#This Row],[Actual]],LEN(Table1[[#This Row],[Actual]])-1)*1000000000</f>
        <v>-2700000000</v>
      </c>
      <c r="E156">
        <f>MONTH(DATEVALUE(_xlfn.TEXTBEFORE(Table1[[#This Row],[elease Date]], " " ) &amp; 1) -1)</f>
        <v>12</v>
      </c>
      <c r="F156" t="str">
        <f>_xlfn.TEXTAFTER(Table1[[#This Row],[elease Date]], ", ")</f>
        <v>2013</v>
      </c>
      <c r="G156" s="1" t="str">
        <f>IF(LEN(Table1[[#This Row],[Year_]]) = 4,Table1[[#This Row],[Year_]], _xlfn.TEXTBEFORE(Table1[[#This Row],[Year_]], " "))</f>
        <v>2013</v>
      </c>
    </row>
    <row r="157" spans="1:7" x14ac:dyDescent="0.25">
      <c r="A157" t="s">
        <v>424</v>
      </c>
      <c r="B157" t="s">
        <v>423</v>
      </c>
      <c r="C157" t="s">
        <v>425</v>
      </c>
      <c r="D157">
        <f>LEFT(Table1[[#This Row],[Actual]],LEN(Table1[[#This Row],[Actual]])-1)*1000000000</f>
        <v>-7940000000</v>
      </c>
      <c r="E157">
        <f>MONTH(DATEVALUE(_xlfn.TEXTBEFORE(Table1[[#This Row],[elease Date]], " " ) &amp; 1) -1)</f>
        <v>11</v>
      </c>
      <c r="F157" t="str">
        <f>_xlfn.TEXTAFTER(Table1[[#This Row],[elease Date]], ", ")</f>
        <v>2012</v>
      </c>
      <c r="G157" s="1" t="str">
        <f>IF(LEN(Table1[[#This Row],[Year_]]) = 4,Table1[[#This Row],[Year_]], _xlfn.TEXTBEFORE(Table1[[#This Row],[Year_]], " "))</f>
        <v>2012</v>
      </c>
    </row>
    <row r="158" spans="1:7" x14ac:dyDescent="0.25">
      <c r="A158" t="s">
        <v>426</v>
      </c>
      <c r="B158" t="s">
        <v>425</v>
      </c>
      <c r="C158" t="s">
        <v>195</v>
      </c>
      <c r="D158">
        <f>LEFT(Table1[[#This Row],[Actual]],LEN(Table1[[#This Row],[Actual]])-1)*1000000000</f>
        <v>-21200000000</v>
      </c>
      <c r="E158">
        <f>MONTH(DATEVALUE(_xlfn.TEXTBEFORE(Table1[[#This Row],[elease Date]], " " ) &amp; 1) -1)</f>
        <v>10</v>
      </c>
      <c r="F158" t="str">
        <f>_xlfn.TEXTAFTER(Table1[[#This Row],[elease Date]], ", ")</f>
        <v>2012</v>
      </c>
      <c r="G158" s="1" t="str">
        <f>IF(LEN(Table1[[#This Row],[Year_]]) = 4,Table1[[#This Row],[Year_]], _xlfn.TEXTBEFORE(Table1[[#This Row],[Year_]], " "))</f>
        <v>2012</v>
      </c>
    </row>
    <row r="159" spans="1:7" x14ac:dyDescent="0.25">
      <c r="A159" t="s">
        <v>427</v>
      </c>
      <c r="B159" t="s">
        <v>195</v>
      </c>
      <c r="C159" t="s">
        <v>397</v>
      </c>
      <c r="D159">
        <f>LEFT(Table1[[#This Row],[Actual]],LEN(Table1[[#This Row],[Actual]])-1)*1000000000</f>
        <v>-13800000000</v>
      </c>
      <c r="E159">
        <f>MONTH(DATEVALUE(_xlfn.TEXTBEFORE(Table1[[#This Row],[elease Date]], " " ) &amp; 1) -1)</f>
        <v>9</v>
      </c>
      <c r="F159" t="str">
        <f>_xlfn.TEXTAFTER(Table1[[#This Row],[elease Date]], ", ")</f>
        <v>2012</v>
      </c>
      <c r="G159" s="1" t="str">
        <f>IF(LEN(Table1[[#This Row],[Year_]]) = 4,Table1[[#This Row],[Year_]], _xlfn.TEXTBEFORE(Table1[[#This Row],[Year_]], " "))</f>
        <v>2012</v>
      </c>
    </row>
    <row r="160" spans="1:7" x14ac:dyDescent="0.25">
      <c r="A160" t="s">
        <v>428</v>
      </c>
      <c r="B160" t="s">
        <v>397</v>
      </c>
      <c r="C160" t="s">
        <v>429</v>
      </c>
      <c r="D160">
        <f>LEFT(Table1[[#This Row],[Actual]],LEN(Table1[[#This Row],[Actual]])-1)*1000000000</f>
        <v>-12200000000</v>
      </c>
      <c r="E160">
        <f>MONTH(DATEVALUE(_xlfn.TEXTBEFORE(Table1[[#This Row],[elease Date]], " " ) &amp; 1) -1)</f>
        <v>8</v>
      </c>
      <c r="F160" t="str">
        <f>_xlfn.TEXTAFTER(Table1[[#This Row],[elease Date]], ", ")</f>
        <v>2012</v>
      </c>
      <c r="G160" s="1" t="str">
        <f>IF(LEN(Table1[[#This Row],[Year_]]) = 4,Table1[[#This Row],[Year_]], _xlfn.TEXTBEFORE(Table1[[#This Row],[Year_]], " "))</f>
        <v>2012</v>
      </c>
    </row>
    <row r="161" spans="1:7" x14ac:dyDescent="0.25">
      <c r="A161" t="s">
        <v>430</v>
      </c>
      <c r="B161" t="s">
        <v>429</v>
      </c>
      <c r="C161" t="s">
        <v>364</v>
      </c>
      <c r="D161">
        <f>LEFT(Table1[[#This Row],[Actual]],LEN(Table1[[#This Row],[Actual]])-1)*1000000000</f>
        <v>-6700000000</v>
      </c>
      <c r="E161">
        <f>MONTH(DATEVALUE(_xlfn.TEXTBEFORE(Table1[[#This Row],[elease Date]], " " ) &amp; 1) -1)</f>
        <v>7</v>
      </c>
      <c r="F161" t="str">
        <f>_xlfn.TEXTAFTER(Table1[[#This Row],[elease Date]], ", ")</f>
        <v>2012</v>
      </c>
      <c r="G161" s="1" t="str">
        <f>IF(LEN(Table1[[#This Row],[Year_]]) = 4,Table1[[#This Row],[Year_]], _xlfn.TEXTBEFORE(Table1[[#This Row],[Year_]], " "))</f>
        <v>2012</v>
      </c>
    </row>
    <row r="162" spans="1:7" x14ac:dyDescent="0.25">
      <c r="A162" t="s">
        <v>431</v>
      </c>
      <c r="B162" t="s">
        <v>364</v>
      </c>
      <c r="C162" t="s">
        <v>364</v>
      </c>
      <c r="D162">
        <f>LEFT(Table1[[#This Row],[Actual]],LEN(Table1[[#This Row],[Actual]])-1)*1000000000</f>
        <v>-5700000000</v>
      </c>
      <c r="E162">
        <f>MONTH(DATEVALUE(_xlfn.TEXTBEFORE(Table1[[#This Row],[elease Date]], " " ) &amp; 1) -1)</f>
        <v>7</v>
      </c>
      <c r="F162" t="str">
        <f>_xlfn.TEXTAFTER(Table1[[#This Row],[elease Date]], ", ")</f>
        <v>2012</v>
      </c>
      <c r="G162" s="1" t="str">
        <f>IF(LEN(Table1[[#This Row],[Year_]]) = 4,Table1[[#This Row],[Year_]], _xlfn.TEXTBEFORE(Table1[[#This Row],[Year_]], " "))</f>
        <v>2012</v>
      </c>
    </row>
    <row r="163" spans="1:7" x14ac:dyDescent="0.25">
      <c r="A163" t="s">
        <v>432</v>
      </c>
      <c r="B163" t="s">
        <v>364</v>
      </c>
      <c r="C163" t="s">
        <v>311</v>
      </c>
      <c r="D163">
        <f>LEFT(Table1[[#This Row],[Actual]],LEN(Table1[[#This Row],[Actual]])-1)*1000000000</f>
        <v>-5700000000</v>
      </c>
      <c r="E163">
        <f>MONTH(DATEVALUE(_xlfn.TEXTBEFORE(Table1[[#This Row],[elease Date]], " " ) &amp; 1) -1)</f>
        <v>6</v>
      </c>
      <c r="F163" t="str">
        <f>_xlfn.TEXTAFTER(Table1[[#This Row],[elease Date]], ", ")</f>
        <v>2012</v>
      </c>
      <c r="G163" s="1" t="str">
        <f>IF(LEN(Table1[[#This Row],[Year_]]) = 4,Table1[[#This Row],[Year_]], _xlfn.TEXTBEFORE(Table1[[#This Row],[Year_]], " "))</f>
        <v>2012</v>
      </c>
    </row>
    <row r="164" spans="1:7" x14ac:dyDescent="0.25">
      <c r="A164" t="s">
        <v>433</v>
      </c>
      <c r="B164" t="s">
        <v>311</v>
      </c>
      <c r="C164" t="s">
        <v>434</v>
      </c>
      <c r="D164">
        <f>LEFT(Table1[[#This Row],[Actual]],LEN(Table1[[#This Row],[Actual]])-1)*1000000000</f>
        <v>-8900000000</v>
      </c>
      <c r="E164">
        <f>MONTH(DATEVALUE(_xlfn.TEXTBEFORE(Table1[[#This Row],[elease Date]], " " ) &amp; 1) -1)</f>
        <v>5</v>
      </c>
      <c r="F164" t="str">
        <f>_xlfn.TEXTAFTER(Table1[[#This Row],[elease Date]], ", ")</f>
        <v>2012</v>
      </c>
      <c r="G164" s="1" t="str">
        <f>IF(LEN(Table1[[#This Row],[Year_]]) = 4,Table1[[#This Row],[Year_]], _xlfn.TEXTBEFORE(Table1[[#This Row],[Year_]], " "))</f>
        <v>2012</v>
      </c>
    </row>
    <row r="165" spans="1:7" x14ac:dyDescent="0.25">
      <c r="A165" t="s">
        <v>435</v>
      </c>
      <c r="B165" t="s">
        <v>434</v>
      </c>
      <c r="C165" t="s">
        <v>357</v>
      </c>
      <c r="D165">
        <f>LEFT(Table1[[#This Row],[Actual]],LEN(Table1[[#This Row],[Actual]])-1)*1000000000</f>
        <v>-9900000000</v>
      </c>
      <c r="E165">
        <f>MONTH(DATEVALUE(_xlfn.TEXTBEFORE(Table1[[#This Row],[elease Date]], " " ) &amp; 1) -1)</f>
        <v>4</v>
      </c>
      <c r="F165" t="str">
        <f>_xlfn.TEXTAFTER(Table1[[#This Row],[elease Date]], ", ")</f>
        <v>2012</v>
      </c>
      <c r="G165" s="1" t="str">
        <f>IF(LEN(Table1[[#This Row],[Year_]]) = 4,Table1[[#This Row],[Year_]], _xlfn.TEXTBEFORE(Table1[[#This Row],[Year_]], " "))</f>
        <v>2012</v>
      </c>
    </row>
    <row r="166" spans="1:7" x14ac:dyDescent="0.25">
      <c r="A166" t="s">
        <v>436</v>
      </c>
      <c r="B166" t="s">
        <v>357</v>
      </c>
      <c r="C166" t="s">
        <v>437</v>
      </c>
      <c r="D166">
        <f>LEFT(Table1[[#This Row],[Actual]],LEN(Table1[[#This Row],[Actual]])-1)*1000000000</f>
        <v>-5500000000</v>
      </c>
      <c r="E166">
        <f>MONTH(DATEVALUE(_xlfn.TEXTBEFORE(Table1[[#This Row],[elease Date]], " " ) &amp; 1) -1)</f>
        <v>3</v>
      </c>
      <c r="F166" t="str">
        <f>_xlfn.TEXTAFTER(Table1[[#This Row],[elease Date]], ", ")</f>
        <v>2012</v>
      </c>
      <c r="G166" s="1" t="str">
        <f>IF(LEN(Table1[[#This Row],[Year_]]) = 4,Table1[[#This Row],[Year_]], _xlfn.TEXTBEFORE(Table1[[#This Row],[Year_]], " "))</f>
        <v>2012</v>
      </c>
    </row>
    <row r="167" spans="1:7" x14ac:dyDescent="0.25">
      <c r="A167" t="s">
        <v>438</v>
      </c>
      <c r="B167" t="s">
        <v>437</v>
      </c>
      <c r="C167" t="s">
        <v>439</v>
      </c>
      <c r="D167">
        <f>LEFT(Table1[[#This Row],[Actual]],LEN(Table1[[#This Row],[Actual]])-1)*1000000000</f>
        <v>-7500000000</v>
      </c>
      <c r="E167">
        <f>MONTH(DATEVALUE(_xlfn.TEXTBEFORE(Table1[[#This Row],[elease Date]], " " ) &amp; 1) -1)</f>
        <v>2</v>
      </c>
      <c r="F167" t="str">
        <f>_xlfn.TEXTAFTER(Table1[[#This Row],[elease Date]], ", ")</f>
        <v>2012</v>
      </c>
      <c r="G167" s="1" t="str">
        <f>IF(LEN(Table1[[#This Row],[Year_]]) = 4,Table1[[#This Row],[Year_]], _xlfn.TEXTBEFORE(Table1[[#This Row],[Year_]], " "))</f>
        <v>2012</v>
      </c>
    </row>
    <row r="168" spans="1:7" x14ac:dyDescent="0.25">
      <c r="A168" t="s">
        <v>440</v>
      </c>
      <c r="B168" t="s">
        <v>441</v>
      </c>
      <c r="C168" t="s">
        <v>442</v>
      </c>
      <c r="D168">
        <f>LEFT(Table1[[#This Row],[Actual]],LEN(Table1[[#This Row],[Actual]])-1)*1000000000</f>
        <v>610000000</v>
      </c>
      <c r="E168">
        <f>MONTH(DATEVALUE(_xlfn.TEXTBEFORE(Table1[[#This Row],[elease Date]], " " ) &amp; 1) -1)</f>
        <v>2</v>
      </c>
      <c r="F168" t="str">
        <f>_xlfn.TEXTAFTER(Table1[[#This Row],[elease Date]], ", ")</f>
        <v>2012 (Feb)</v>
      </c>
      <c r="G168" s="1" t="str">
        <f>IF(LEN(Table1[[#This Row],[Year_]]) = 4,Table1[[#This Row],[Year_]], _xlfn.TEXTBEFORE(Table1[[#This Row],[Year_]], " "))</f>
        <v>2012</v>
      </c>
    </row>
    <row r="169" spans="1:7" x14ac:dyDescent="0.25">
      <c r="A169" t="s">
        <v>443</v>
      </c>
      <c r="B169" t="s">
        <v>442</v>
      </c>
      <c r="C169" t="s">
        <v>444</v>
      </c>
      <c r="D169">
        <f>LEFT(Table1[[#This Row],[Actual]],LEN(Table1[[#This Row],[Actual]])-1)*1000000000</f>
        <v>-9420000000</v>
      </c>
      <c r="E169">
        <f>MONTH(DATEVALUE(_xlfn.TEXTBEFORE(Table1[[#This Row],[elease Date]], " " ) &amp; 1) -1)</f>
        <v>1</v>
      </c>
      <c r="F169" t="str">
        <f>_xlfn.TEXTAFTER(Table1[[#This Row],[elease Date]], ", ")</f>
        <v>2012 (Jan)</v>
      </c>
      <c r="G169" s="1" t="str">
        <f>IF(LEN(Table1[[#This Row],[Year_]]) = 4,Table1[[#This Row],[Year_]], _xlfn.TEXTBEFORE(Table1[[#This Row],[Year_]], " "))</f>
        <v>2012</v>
      </c>
    </row>
    <row r="170" spans="1:7" x14ac:dyDescent="0.25">
      <c r="A170" t="s">
        <v>445</v>
      </c>
      <c r="B170" t="s">
        <v>444</v>
      </c>
      <c r="C170" t="s">
        <v>446</v>
      </c>
      <c r="D170">
        <f>LEFT(Table1[[#This Row],[Actual]],LEN(Table1[[#This Row],[Actual]])-1)*1000000000</f>
        <v>9940000000</v>
      </c>
      <c r="E170">
        <f>MONTH(DATEVALUE(_xlfn.TEXTBEFORE(Table1[[#This Row],[elease Date]], " " ) &amp; 1) -1)</f>
        <v>12</v>
      </c>
      <c r="F170" t="str">
        <f>_xlfn.TEXTAFTER(Table1[[#This Row],[elease Date]], ", ")</f>
        <v>2012 (Dec)</v>
      </c>
      <c r="G170" s="1" t="str">
        <f>IF(LEN(Table1[[#This Row],[Year_]]) = 4,Table1[[#This Row],[Year_]], _xlfn.TEXTBEFORE(Table1[[#This Row],[Year_]], " "))</f>
        <v>2012</v>
      </c>
    </row>
    <row r="171" spans="1:7" x14ac:dyDescent="0.25">
      <c r="A171" t="s">
        <v>447</v>
      </c>
      <c r="B171" t="s">
        <v>446</v>
      </c>
      <c r="C171" t="s">
        <v>448</v>
      </c>
      <c r="D171">
        <f>LEFT(Table1[[#This Row],[Actual]],LEN(Table1[[#This Row],[Actual]])-1)*1000000000</f>
        <v>-1780000000</v>
      </c>
      <c r="E171">
        <f>MONTH(DATEVALUE(_xlfn.TEXTBEFORE(Table1[[#This Row],[elease Date]], " " ) &amp; 1) -1)</f>
        <v>11</v>
      </c>
      <c r="F171" t="str">
        <f>_xlfn.TEXTAFTER(Table1[[#This Row],[elease Date]], ", ")</f>
        <v>2011 (Nov)</v>
      </c>
      <c r="G171" s="1" t="str">
        <f>IF(LEN(Table1[[#This Row],[Year_]]) = 4,Table1[[#This Row],[Year_]], _xlfn.TEXTBEFORE(Table1[[#This Row],[Year_]], " "))</f>
        <v>2011</v>
      </c>
    </row>
    <row r="172" spans="1:7" x14ac:dyDescent="0.25">
      <c r="A172" t="s">
        <v>449</v>
      </c>
      <c r="B172" t="s">
        <v>448</v>
      </c>
      <c r="C172" t="s">
        <v>450</v>
      </c>
      <c r="D172">
        <f>LEFT(Table1[[#This Row],[Actual]],LEN(Table1[[#This Row],[Actual]])-1)*1000000000</f>
        <v>-3870000000</v>
      </c>
      <c r="E172">
        <f>MONTH(DATEVALUE(_xlfn.TEXTBEFORE(Table1[[#This Row],[elease Date]], " " ) &amp; 1) -1)</f>
        <v>10</v>
      </c>
      <c r="F172" t="str">
        <f>_xlfn.TEXTAFTER(Table1[[#This Row],[elease Date]], ", ")</f>
        <v>2011 (Oct)</v>
      </c>
      <c r="G172" s="1" t="str">
        <f>IF(LEN(Table1[[#This Row],[Year_]]) = 4,Table1[[#This Row],[Year_]], _xlfn.TEXTBEFORE(Table1[[#This Row],[Year_]], " "))</f>
        <v>2011</v>
      </c>
    </row>
    <row r="173" spans="1:7" x14ac:dyDescent="0.25">
      <c r="A173" t="s">
        <v>451</v>
      </c>
      <c r="B173" t="s">
        <v>450</v>
      </c>
      <c r="C173" t="s">
        <v>452</v>
      </c>
      <c r="D173">
        <f>LEFT(Table1[[#This Row],[Actual]],LEN(Table1[[#This Row],[Actual]])-1)*1000000000</f>
        <v>8900000000</v>
      </c>
      <c r="E173">
        <f>MONTH(DATEVALUE(_xlfn.TEXTBEFORE(Table1[[#This Row],[elease Date]], " " ) &amp; 1) -1)</f>
        <v>9</v>
      </c>
      <c r="F173" t="str">
        <f>_xlfn.TEXTAFTER(Table1[[#This Row],[elease Date]], ", ")</f>
        <v>2011 (Sep)</v>
      </c>
      <c r="G173" s="1" t="str">
        <f>IF(LEN(Table1[[#This Row],[Year_]]) = 4,Table1[[#This Row],[Year_]], _xlfn.TEXTBEFORE(Table1[[#This Row],[Year_]], " "))</f>
        <v>2011</v>
      </c>
    </row>
    <row r="174" spans="1:7" x14ac:dyDescent="0.25">
      <c r="A174" t="s">
        <v>453</v>
      </c>
      <c r="B174" t="s">
        <v>452</v>
      </c>
      <c r="C174" t="s">
        <v>454</v>
      </c>
      <c r="D174">
        <f>LEFT(Table1[[#This Row],[Actual]],LEN(Table1[[#This Row],[Actual]])-1)*1000000000</f>
        <v>1380000000</v>
      </c>
      <c r="E174">
        <f>MONTH(DATEVALUE(_xlfn.TEXTBEFORE(Table1[[#This Row],[elease Date]], " " ) &amp; 1) -1)</f>
        <v>8</v>
      </c>
      <c r="F174" t="str">
        <f>_xlfn.TEXTAFTER(Table1[[#This Row],[elease Date]], ", ")</f>
        <v>2011 (Aug)</v>
      </c>
      <c r="G174" s="1" t="str">
        <f>IF(LEN(Table1[[#This Row],[Year_]]) = 4,Table1[[#This Row],[Year_]], _xlfn.TEXTBEFORE(Table1[[#This Row],[Year_]], " "))</f>
        <v>2011</v>
      </c>
    </row>
    <row r="175" spans="1:7" x14ac:dyDescent="0.25">
      <c r="A175" t="s">
        <v>455</v>
      </c>
      <c r="B175" t="s">
        <v>454</v>
      </c>
      <c r="C175" t="s">
        <v>456</v>
      </c>
      <c r="D175">
        <f>LEFT(Table1[[#This Row],[Actual]],LEN(Table1[[#This Row],[Actual]])-1)*1000000000</f>
        <v>2860000000</v>
      </c>
      <c r="E175">
        <f>MONTH(DATEVALUE(_xlfn.TEXTBEFORE(Table1[[#This Row],[elease Date]], " " ) &amp; 1) -1)</f>
        <v>7</v>
      </c>
      <c r="F175" t="str">
        <f>_xlfn.TEXTAFTER(Table1[[#This Row],[elease Date]], ", ")</f>
        <v>2011 (Jul)</v>
      </c>
      <c r="G175" s="1" t="str">
        <f>IF(LEN(Table1[[#This Row],[Year_]]) = 4,Table1[[#This Row],[Year_]], _xlfn.TEXTBEFORE(Table1[[#This Row],[Year_]], " "))</f>
        <v>2011</v>
      </c>
    </row>
    <row r="176" spans="1:7" x14ac:dyDescent="0.25">
      <c r="A176" t="s">
        <v>457</v>
      </c>
      <c r="B176" t="s">
        <v>456</v>
      </c>
      <c r="C176" t="s">
        <v>458</v>
      </c>
      <c r="D176">
        <f>LEFT(Table1[[#This Row],[Actual]],LEN(Table1[[#This Row],[Actual]])-1)*1000000000</f>
        <v>10770000000</v>
      </c>
      <c r="E176">
        <f>MONTH(DATEVALUE(_xlfn.TEXTBEFORE(Table1[[#This Row],[elease Date]], " " ) &amp; 1) -1)</f>
        <v>6</v>
      </c>
      <c r="F176" t="str">
        <f>_xlfn.TEXTAFTER(Table1[[#This Row],[elease Date]], ", ")</f>
        <v>2011 (Jun)</v>
      </c>
      <c r="G176" s="1" t="str">
        <f>IF(LEN(Table1[[#This Row],[Year_]]) = 4,Table1[[#This Row],[Year_]], _xlfn.TEXTBEFORE(Table1[[#This Row],[Year_]], " "))</f>
        <v>2011</v>
      </c>
    </row>
    <row r="177" spans="1:7" x14ac:dyDescent="0.25">
      <c r="A177" t="s">
        <v>459</v>
      </c>
      <c r="B177" t="s">
        <v>458</v>
      </c>
      <c r="C177" t="s">
        <v>460</v>
      </c>
      <c r="D177">
        <f>LEFT(Table1[[#This Row],[Actual]],LEN(Table1[[#This Row],[Actual]])-1)*1000000000</f>
        <v>2140000000.0000002</v>
      </c>
      <c r="E177">
        <f>MONTH(DATEVALUE(_xlfn.TEXTBEFORE(Table1[[#This Row],[elease Date]], " " ) &amp; 1) -1)</f>
        <v>5</v>
      </c>
      <c r="F177" t="str">
        <f>_xlfn.TEXTAFTER(Table1[[#This Row],[elease Date]], ", ")</f>
        <v>2011 (May)</v>
      </c>
      <c r="G177" s="1" t="str">
        <f>IF(LEN(Table1[[#This Row],[Year_]]) = 4,Table1[[#This Row],[Year_]], _xlfn.TEXTBEFORE(Table1[[#This Row],[Year_]], " "))</f>
        <v>2011</v>
      </c>
    </row>
    <row r="178" spans="1:7" x14ac:dyDescent="0.25">
      <c r="A178" t="s">
        <v>461</v>
      </c>
      <c r="B178" t="s">
        <v>460</v>
      </c>
      <c r="C178" t="s">
        <v>462</v>
      </c>
      <c r="D178">
        <f>LEFT(Table1[[#This Row],[Actual]],LEN(Table1[[#This Row],[Actual]])-1)*1000000000</f>
        <v>4080000000</v>
      </c>
      <c r="E178">
        <f>MONTH(DATEVALUE(_xlfn.TEXTBEFORE(Table1[[#This Row],[elease Date]], " " ) &amp; 1) -1)</f>
        <v>4</v>
      </c>
      <c r="F178" t="str">
        <f>_xlfn.TEXTAFTER(Table1[[#This Row],[elease Date]], ", ")</f>
        <v>2011 (Apr)</v>
      </c>
      <c r="G178" s="1" t="str">
        <f>IF(LEN(Table1[[#This Row],[Year_]]) = 4,Table1[[#This Row],[Year_]], _xlfn.TEXTBEFORE(Table1[[#This Row],[Year_]], " "))</f>
        <v>2011</v>
      </c>
    </row>
    <row r="179" spans="1:7" x14ac:dyDescent="0.25">
      <c r="A179" t="s">
        <v>463</v>
      </c>
      <c r="B179" t="s">
        <v>462</v>
      </c>
      <c r="C179" t="s">
        <v>464</v>
      </c>
      <c r="D179">
        <f>LEFT(Table1[[#This Row],[Actual]],LEN(Table1[[#This Row],[Actual]])-1)*1000000000</f>
        <v>6280000000</v>
      </c>
      <c r="E179">
        <f>MONTH(DATEVALUE(_xlfn.TEXTBEFORE(Table1[[#This Row],[elease Date]], " " ) &amp; 1) -1)</f>
        <v>3</v>
      </c>
      <c r="F179" t="str">
        <f>_xlfn.TEXTAFTER(Table1[[#This Row],[elease Date]], ", ")</f>
        <v>2011 (Mar)</v>
      </c>
      <c r="G179" s="1" t="str">
        <f>IF(LEN(Table1[[#This Row],[Year_]]) = 4,Table1[[#This Row],[Year_]], _xlfn.TEXTBEFORE(Table1[[#This Row],[Year_]], " "))</f>
        <v>2011</v>
      </c>
    </row>
    <row r="180" spans="1:7" x14ac:dyDescent="0.25">
      <c r="A180" t="s">
        <v>465</v>
      </c>
      <c r="B180" t="s">
        <v>464</v>
      </c>
      <c r="C180" t="s">
        <v>466</v>
      </c>
      <c r="D180">
        <f>LEFT(Table1[[#This Row],[Actual]],LEN(Table1[[#This Row],[Actual]])-1)*1000000000</f>
        <v>3420000000</v>
      </c>
      <c r="E180">
        <f>MONTH(DATEVALUE(_xlfn.TEXTBEFORE(Table1[[#This Row],[elease Date]], " " ) &amp; 1) -1)</f>
        <v>2</v>
      </c>
      <c r="F180" t="str">
        <f>_xlfn.TEXTAFTER(Table1[[#This Row],[elease Date]], ", ")</f>
        <v>2011 (Feb)</v>
      </c>
      <c r="G180" s="1" t="str">
        <f>IF(LEN(Table1[[#This Row],[Year_]]) = 4,Table1[[#This Row],[Year_]], _xlfn.TEXTBEFORE(Table1[[#This Row],[Year_]], " "))</f>
        <v>2011</v>
      </c>
    </row>
    <row r="181" spans="1:7" x14ac:dyDescent="0.25">
      <c r="A181" t="s">
        <v>467</v>
      </c>
      <c r="B181" t="s">
        <v>466</v>
      </c>
      <c r="C181" t="s">
        <v>468</v>
      </c>
      <c r="D181">
        <f>LEFT(Table1[[#This Row],[Actual]],LEN(Table1[[#This Row],[Actual]])-1)*1000000000</f>
        <v>-440000000</v>
      </c>
      <c r="E181">
        <f>MONTH(DATEVALUE(_xlfn.TEXTBEFORE(Table1[[#This Row],[elease Date]], " " ) &amp; 1) -1)</f>
        <v>1</v>
      </c>
      <c r="F181" t="str">
        <f>_xlfn.TEXTAFTER(Table1[[#This Row],[elease Date]], ", ")</f>
        <v>2011 (Jan)</v>
      </c>
      <c r="G181" s="1" t="str">
        <f>IF(LEN(Table1[[#This Row],[Year_]]) = 4,Table1[[#This Row],[Year_]], _xlfn.TEXTBEFORE(Table1[[#This Row],[Year_]], " "))</f>
        <v>2011</v>
      </c>
    </row>
    <row r="182" spans="1:7" x14ac:dyDescent="0.25">
      <c r="A182" t="s">
        <v>469</v>
      </c>
      <c r="B182" t="s">
        <v>468</v>
      </c>
      <c r="C182" t="s">
        <v>470</v>
      </c>
      <c r="D182">
        <f>LEFT(Table1[[#This Row],[Actual]],LEN(Table1[[#This Row],[Actual]])-1)*1000000000</f>
        <v>14960000000</v>
      </c>
      <c r="E182">
        <f>MONTH(DATEVALUE(_xlfn.TEXTBEFORE(Table1[[#This Row],[elease Date]], " " ) &amp; 1) -1)</f>
        <v>12</v>
      </c>
      <c r="F182" t="str">
        <f>_xlfn.TEXTAFTER(Table1[[#This Row],[elease Date]], ", ")</f>
        <v>2011 (Dec)</v>
      </c>
      <c r="G182" s="1" t="str">
        <f>IF(LEN(Table1[[#This Row],[Year_]]) = 4,Table1[[#This Row],[Year_]], _xlfn.TEXTBEFORE(Table1[[#This Row],[Year_]], " "))</f>
        <v>2011</v>
      </c>
    </row>
    <row r="183" spans="1:7" x14ac:dyDescent="0.25">
      <c r="A183" t="s">
        <v>471</v>
      </c>
      <c r="B183" t="s">
        <v>470</v>
      </c>
      <c r="C183" t="s">
        <v>472</v>
      </c>
      <c r="D183">
        <f>LEFT(Table1[[#This Row],[Actual]],LEN(Table1[[#This Row],[Actual]])-1)*1000000000</f>
        <v>8490000000</v>
      </c>
      <c r="E183">
        <f>MONTH(DATEVALUE(_xlfn.TEXTBEFORE(Table1[[#This Row],[elease Date]], " " ) &amp; 1) -1)</f>
        <v>11</v>
      </c>
      <c r="F183" t="str">
        <f>_xlfn.TEXTAFTER(Table1[[#This Row],[elease Date]], ", ")</f>
        <v>2010 (Nov)</v>
      </c>
      <c r="G183" s="1" t="str">
        <f>IF(LEN(Table1[[#This Row],[Year_]]) = 4,Table1[[#This Row],[Year_]], _xlfn.TEXTBEFORE(Table1[[#This Row],[Year_]], " "))</f>
        <v>2010</v>
      </c>
    </row>
    <row r="184" spans="1:7" x14ac:dyDescent="0.25">
      <c r="A184" t="s">
        <v>473</v>
      </c>
      <c r="B184" t="s">
        <v>472</v>
      </c>
      <c r="C184" t="s">
        <v>474</v>
      </c>
      <c r="D184">
        <f>LEFT(Table1[[#This Row],[Actual]],LEN(Table1[[#This Row],[Actual]])-1)*1000000000</f>
        <v>5020000000</v>
      </c>
      <c r="E184">
        <f>MONTH(DATEVALUE(_xlfn.TEXTBEFORE(Table1[[#This Row],[elease Date]], " " ) &amp; 1) -1)</f>
        <v>10</v>
      </c>
      <c r="F184" t="str">
        <f>_xlfn.TEXTAFTER(Table1[[#This Row],[elease Date]], ", ")</f>
        <v>2010 (Oct)</v>
      </c>
      <c r="G184" s="1" t="str">
        <f>IF(LEN(Table1[[#This Row],[Year_]]) = 4,Table1[[#This Row],[Year_]], _xlfn.TEXTBEFORE(Table1[[#This Row],[Year_]], " "))</f>
        <v>2010</v>
      </c>
    </row>
    <row r="185" spans="1:7" x14ac:dyDescent="0.25">
      <c r="A185" t="s">
        <v>475</v>
      </c>
      <c r="B185" t="s">
        <v>474</v>
      </c>
      <c r="C185" t="s">
        <v>476</v>
      </c>
      <c r="D185">
        <f>LEFT(Table1[[#This Row],[Actual]],LEN(Table1[[#This Row],[Actual]])-1)*1000000000</f>
        <v>8420000000</v>
      </c>
      <c r="E185">
        <f>MONTH(DATEVALUE(_xlfn.TEXTBEFORE(Table1[[#This Row],[elease Date]], " " ) &amp; 1) -1)</f>
        <v>9</v>
      </c>
      <c r="F185" t="str">
        <f>_xlfn.TEXTAFTER(Table1[[#This Row],[elease Date]], ", ")</f>
        <v>2010 (Sep)</v>
      </c>
      <c r="G185" s="1" t="str">
        <f>IF(LEN(Table1[[#This Row],[Year_]]) = 4,Table1[[#This Row],[Year_]], _xlfn.TEXTBEFORE(Table1[[#This Row],[Year_]], " "))</f>
        <v>2010</v>
      </c>
    </row>
    <row r="186" spans="1:7" x14ac:dyDescent="0.25">
      <c r="A186" t="s">
        <v>477</v>
      </c>
      <c r="B186" t="s">
        <v>476</v>
      </c>
      <c r="C186" t="s">
        <v>478</v>
      </c>
      <c r="D186">
        <f>LEFT(Table1[[#This Row],[Actual]],LEN(Table1[[#This Row],[Actual]])-1)*1000000000</f>
        <v>-420000000</v>
      </c>
      <c r="E186">
        <f>MONTH(DATEVALUE(_xlfn.TEXTBEFORE(Table1[[#This Row],[elease Date]], " " ) &amp; 1) -1)</f>
        <v>8</v>
      </c>
      <c r="F186" t="str">
        <f>_xlfn.TEXTAFTER(Table1[[#This Row],[elease Date]], ", ")</f>
        <v>2010 (Aug)</v>
      </c>
      <c r="G186" s="1" t="str">
        <f>IF(LEN(Table1[[#This Row],[Year_]]) = 4,Table1[[#This Row],[Year_]], _xlfn.TEXTBEFORE(Table1[[#This Row],[Year_]], " "))</f>
        <v>2010</v>
      </c>
    </row>
    <row r="187" spans="1:7" x14ac:dyDescent="0.25">
      <c r="A187" t="s">
        <v>479</v>
      </c>
      <c r="B187" t="s">
        <v>478</v>
      </c>
      <c r="C187" t="s">
        <v>480</v>
      </c>
      <c r="D187">
        <f>LEFT(Table1[[#This Row],[Actual]],LEN(Table1[[#This Row],[Actual]])-1)*1000000000</f>
        <v>6170000000</v>
      </c>
      <c r="E187">
        <f>MONTH(DATEVALUE(_xlfn.TEXTBEFORE(Table1[[#This Row],[elease Date]], " " ) &amp; 1) -1)</f>
        <v>7</v>
      </c>
      <c r="F187" t="str">
        <f>_xlfn.TEXTAFTER(Table1[[#This Row],[elease Date]], ", ")</f>
        <v>2010 (Jul)</v>
      </c>
      <c r="G187" s="1" t="str">
        <f>IF(LEN(Table1[[#This Row],[Year_]]) = 4,Table1[[#This Row],[Year_]], _xlfn.TEXTBEFORE(Table1[[#This Row],[Year_]], " "))</f>
        <v>2010</v>
      </c>
    </row>
    <row r="188" spans="1:7" x14ac:dyDescent="0.25">
      <c r="A188" t="s">
        <v>481</v>
      </c>
      <c r="B188" t="s">
        <v>480</v>
      </c>
      <c r="C188" t="s">
        <v>482</v>
      </c>
      <c r="D188">
        <f>LEFT(Table1[[#This Row],[Actual]],LEN(Table1[[#This Row],[Actual]])-1)*1000000000</f>
        <v>9900000000</v>
      </c>
      <c r="E188">
        <f>MONTH(DATEVALUE(_xlfn.TEXTBEFORE(Table1[[#This Row],[elease Date]], " " ) &amp; 1) -1)</f>
        <v>6</v>
      </c>
      <c r="F188" t="str">
        <f>_xlfn.TEXTAFTER(Table1[[#This Row],[elease Date]], ", ")</f>
        <v>2010 (Jun)</v>
      </c>
      <c r="G188" s="1" t="str">
        <f>IF(LEN(Table1[[#This Row],[Year_]]) = 4,Table1[[#This Row],[Year_]], _xlfn.TEXTBEFORE(Table1[[#This Row],[Year_]], " "))</f>
        <v>2010</v>
      </c>
    </row>
    <row r="189" spans="1:7" x14ac:dyDescent="0.25">
      <c r="A189" t="s">
        <v>483</v>
      </c>
      <c r="B189" t="s">
        <v>482</v>
      </c>
      <c r="C189" t="s">
        <v>484</v>
      </c>
      <c r="D189">
        <f>LEFT(Table1[[#This Row],[Actual]],LEN(Table1[[#This Row],[Actual]])-1)*1000000000</f>
        <v>3920000000</v>
      </c>
      <c r="E189">
        <f>MONTH(DATEVALUE(_xlfn.TEXTBEFORE(Table1[[#This Row],[elease Date]], " " ) &amp; 1) -1)</f>
        <v>5</v>
      </c>
      <c r="F189" t="str">
        <f>_xlfn.TEXTAFTER(Table1[[#This Row],[elease Date]], ", ")</f>
        <v>2010 (May)</v>
      </c>
      <c r="G189" s="1" t="str">
        <f>IF(LEN(Table1[[#This Row],[Year_]]) = 4,Table1[[#This Row],[Year_]], _xlfn.TEXTBEFORE(Table1[[#This Row],[Year_]], " "))</f>
        <v>2010</v>
      </c>
    </row>
    <row r="190" spans="1:7" x14ac:dyDescent="0.25">
      <c r="A190" t="s">
        <v>485</v>
      </c>
      <c r="B190" t="s">
        <v>484</v>
      </c>
      <c r="C190" t="s">
        <v>486</v>
      </c>
      <c r="D190">
        <f>LEFT(Table1[[#This Row],[Actual]],LEN(Table1[[#This Row],[Actual]])-1)*1000000000</f>
        <v>1280000000</v>
      </c>
      <c r="E190">
        <f>MONTH(DATEVALUE(_xlfn.TEXTBEFORE(Table1[[#This Row],[elease Date]], " " ) &amp; 1) -1)</f>
        <v>4</v>
      </c>
      <c r="F190" t="str">
        <f>_xlfn.TEXTAFTER(Table1[[#This Row],[elease Date]], ", ")</f>
        <v>2010 (Apr)</v>
      </c>
      <c r="G190" s="1" t="str">
        <f>IF(LEN(Table1[[#This Row],[Year_]]) = 4,Table1[[#This Row],[Year_]], _xlfn.TEXTBEFORE(Table1[[#This Row],[Year_]], " "))</f>
        <v>2010</v>
      </c>
    </row>
    <row r="191" spans="1:7" x14ac:dyDescent="0.25">
      <c r="A191" t="s">
        <v>487</v>
      </c>
      <c r="B191" t="s">
        <v>486</v>
      </c>
      <c r="C191" t="s">
        <v>488</v>
      </c>
      <c r="D191">
        <f>LEFT(Table1[[#This Row],[Actual]],LEN(Table1[[#This Row],[Actual]])-1)*1000000000</f>
        <v>3230000000</v>
      </c>
      <c r="E191">
        <f>MONTH(DATEVALUE(_xlfn.TEXTBEFORE(Table1[[#This Row],[elease Date]], " " ) &amp; 1) -1)</f>
        <v>3</v>
      </c>
      <c r="F191" t="str">
        <f>_xlfn.TEXTAFTER(Table1[[#This Row],[elease Date]], ", ")</f>
        <v>2010 (Mar)</v>
      </c>
      <c r="G191" s="1" t="str">
        <f>IF(LEN(Table1[[#This Row],[Year_]]) = 4,Table1[[#This Row],[Year_]], _xlfn.TEXTBEFORE(Table1[[#This Row],[Year_]], " "))</f>
        <v>2010</v>
      </c>
    </row>
    <row r="192" spans="1:7" x14ac:dyDescent="0.25">
      <c r="A192" t="s">
        <v>489</v>
      </c>
      <c r="B192" t="s">
        <v>488</v>
      </c>
      <c r="C192" t="s">
        <v>490</v>
      </c>
      <c r="D192">
        <f>LEFT(Table1[[#This Row],[Actual]],LEN(Table1[[#This Row],[Actual]])-1)*1000000000</f>
        <v>-1350000000</v>
      </c>
      <c r="E192">
        <f>MONTH(DATEVALUE(_xlfn.TEXTBEFORE(Table1[[#This Row],[elease Date]], " " ) &amp; 1) -1)</f>
        <v>2</v>
      </c>
      <c r="F192" t="str">
        <f>_xlfn.TEXTAFTER(Table1[[#This Row],[elease Date]], ", ")</f>
        <v>2010 (Feb)</v>
      </c>
      <c r="G192" s="1" t="str">
        <f>IF(LEN(Table1[[#This Row],[Year_]]) = 4,Table1[[#This Row],[Year_]], _xlfn.TEXTBEFORE(Table1[[#This Row],[Year_]], " "))</f>
        <v>2010</v>
      </c>
    </row>
    <row r="193" spans="1:7" x14ac:dyDescent="0.25">
      <c r="A193" t="s">
        <v>491</v>
      </c>
      <c r="B193" t="s">
        <v>490</v>
      </c>
      <c r="D193">
        <f>LEFT(Table1[[#This Row],[Actual]],LEN(Table1[[#This Row],[Actual]])-1)*1000000000</f>
        <v>520000000</v>
      </c>
      <c r="E193">
        <f>MONTH(DATEVALUE(_xlfn.TEXTBEFORE(Table1[[#This Row],[elease Date]], " " ) &amp; 1) -1)</f>
        <v>1</v>
      </c>
      <c r="F193" t="str">
        <f>_xlfn.TEXTAFTER(Table1[[#This Row],[elease Date]], ", ")</f>
        <v>2010 (Jan)</v>
      </c>
      <c r="G193" s="1" t="str">
        <f>IF(LEN(Table1[[#This Row],[Year_]]) = 4,Table1[[#This Row],[Year_]], _xlfn.TEXTBEFORE(Table1[[#This Row],[Year_]], " "))</f>
        <v>2010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Mbuyiselo Ntandoyeselo xaba</dc:creator>
  <cp:lastModifiedBy>Mbuyiselo Ntandoyeselo xaba</cp:lastModifiedBy>
  <dcterms:created xsi:type="dcterms:W3CDTF">2025-11-16T16:35:49Z</dcterms:created>
  <dcterms:modified xsi:type="dcterms:W3CDTF">2025-11-18T08:29:51Z</dcterms:modified>
</cp:coreProperties>
</file>